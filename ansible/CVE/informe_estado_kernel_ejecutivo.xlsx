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Inventario General (222)" sheetId="2" state="visible" r:id="rId2"/>
    <sheet xmlns:r="http://schemas.openxmlformats.org/officeDocument/2006/relationships" name="Reinicios Pendientes (28)" sheetId="3" state="visible" r:id="rId3"/>
    <sheet xmlns:r="http://schemas.openxmlformats.org/officeDocument/2006/relationships" name="Parches Disponibles (42)" sheetId="4" state="visible" r:id="rId4"/>
    <sheet xmlns:r="http://schemas.openxmlformats.org/officeDocument/2006/relationships" name="No Alcanzables (29)" sheetId="5" state="visible" r:id="rId5"/>
  </sheets>
  <definedNames>
    <definedName name="_xlnm._FilterDatabase" localSheetId="1" hidden="1">'Inventario General (222)'!$A$1:$H$223</definedName>
    <definedName name="_xlnm._FilterDatabase" localSheetId="2" hidden="1">'Reinicios Pendientes (28)'!$A$1:$H$29</definedName>
    <definedName name="_xlnm._FilterDatabase" localSheetId="3" hidden="1">'Parches Disponibles (42)'!$A$1:$H$43</definedName>
    <definedName name="_xlnm._FilterDatabase" localSheetId="4" hidden="1">'No Alcanzables (29)'!$A$1:$H$30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1"/>
    </font>
    <font>
      <name val="Segoe UI"/>
      <b val="1"/>
      <color rgb="00595959"/>
      <sz val="9"/>
    </font>
    <font>
      <name val="Segoe UI"/>
      <b val="1"/>
      <color rgb="001F4E79"/>
      <sz val="20"/>
    </font>
    <font>
      <name val="Segoe UI"/>
      <b val="1"/>
      <color rgb="00C00000"/>
      <sz val="20"/>
    </font>
    <font>
      <name val="Segoe UI"/>
      <b val="1"/>
      <color rgb="00D9822B"/>
      <sz val="20"/>
    </font>
    <font>
      <name val="Segoe UI"/>
      <b val="1"/>
      <color rgb="001F4E79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1F4E79"/>
      <sz val="10"/>
    </font>
    <font>
      <name val="Segoe UI"/>
      <color rgb="005F6368"/>
      <sz val="10"/>
    </font>
    <font>
      <name val="Segoe UI"/>
      <color rgb="00137333"/>
      <sz val="10"/>
    </font>
    <font>
      <name val="Segoe UI"/>
      <b val="1"/>
      <color rgb="00B06000"/>
      <sz val="10"/>
    </font>
    <font>
      <name val="Segoe UI"/>
      <b val="1"/>
      <color rgb="00C5221F"/>
      <sz val="10"/>
    </font>
  </fonts>
  <fills count="12">
    <fill>
      <patternFill/>
    </fill>
    <fill>
      <patternFill patternType="gray125"/>
    </fill>
    <fill>
      <patternFill patternType="solid">
        <fgColor rgb="00F2F4F8"/>
        <bgColor rgb="00F2F4F8"/>
      </patternFill>
    </fill>
    <fill>
      <patternFill patternType="solid">
        <fgColor rgb="00FDF2F2"/>
        <bgColor rgb="00FDF2F2"/>
      </patternFill>
    </fill>
    <fill>
      <patternFill patternType="solid">
        <fgColor rgb="00FEF8F0"/>
        <bgColor rgb="00FEF8F0"/>
      </patternFill>
    </fill>
    <fill>
      <patternFill patternType="solid">
        <fgColor rgb="001F4E79"/>
        <bgColor rgb="001F4E79"/>
      </patternFill>
    </fill>
    <fill>
      <patternFill patternType="solid">
        <fgColor rgb="00E8EEF5"/>
        <bgColor rgb="00E8EEF5"/>
      </patternFill>
    </fill>
    <fill>
      <patternFill patternType="solid">
        <fgColor rgb="00F9FAFC"/>
        <bgColor rgb="00F9FAFC"/>
      </patternFill>
    </fill>
    <fill>
      <patternFill patternType="solid">
        <fgColor rgb="00E6F4EA"/>
        <bgColor rgb="00E6F4EA"/>
      </patternFill>
    </fill>
    <fill>
      <patternFill patternType="solid">
        <fgColor rgb="00F1F3F4"/>
        <bgColor rgb="00F1F3F4"/>
      </patternFill>
    </fill>
    <fill>
      <patternFill patternType="solid">
        <fgColor rgb="00FEF3D6"/>
        <bgColor rgb="00FEF3D6"/>
      </patternFill>
    </fill>
    <fill>
      <patternFill patternType="solid">
        <fgColor rgb="00FCE8E6"/>
        <bgColor rgb="00FCE8E6"/>
      </patternFill>
    </fill>
  </fills>
  <borders count="4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5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/>
    </xf>
    <xf numFmtId="3" fontId="9" fillId="0" borderId="2" applyAlignment="1" pivotButton="0" quotePrefix="0" xfId="0">
      <alignment horizontal="center"/>
    </xf>
    <xf numFmtId="164" fontId="9" fillId="0" borderId="2" applyAlignment="1" pivotButton="0" quotePrefix="0" xfId="0">
      <alignment horizontal="right"/>
    </xf>
    <xf numFmtId="0" fontId="10" fillId="6" borderId="3" applyAlignment="1" pivotButton="0" quotePrefix="0" xfId="0">
      <alignment horizontal="left"/>
    </xf>
    <xf numFmtId="3" fontId="10" fillId="6" borderId="3" applyAlignment="1" pivotButton="0" quotePrefix="0" xfId="0">
      <alignment horizontal="center"/>
    </xf>
    <xf numFmtId="164" fontId="10" fillId="6" borderId="3" applyAlignment="1" pivotButton="0" quotePrefix="0" xfId="0">
      <alignment horizontal="right"/>
    </xf>
    <xf numFmtId="0" fontId="9" fillId="7" borderId="2" applyAlignment="1" pivotButton="0" quotePrefix="0" xfId="0">
      <alignment horizontal="left"/>
    </xf>
    <xf numFmtId="3" fontId="9" fillId="7" borderId="2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0" fontId="9" fillId="7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left" vertical="center"/>
    </xf>
    <xf numFmtId="0" fontId="13" fillId="10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left" vertical="center"/>
    </xf>
    <xf numFmtId="0" fontId="14" fillId="11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Servidores por Familia de S.O.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Ejecutivo'!C16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Ejecutivo'!$B$17:$B$23</f>
            </numRef>
          </cat>
          <val>
            <numRef>
              <f>'Resumen Ejecutivo'!$C$17:$C$23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Familia de S.O.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 de Servidores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Acciones Requeridas: Parches vs Reinicios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Ejecutivo'!F16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Ejecutivo'!$B$17:$B$23</f>
            </numRef>
          </cat>
          <val>
            <numRef>
              <f>'Resumen Ejecutivo'!$F$17:$F$23</f>
            </numRef>
          </val>
        </ser>
        <ser>
          <idx val="1"/>
          <order val="1"/>
          <tx>
            <strRef>
              <f>'Resumen Ejecutivo'!G16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Ejecutivo'!$B$17:$B$23</f>
            </numRef>
          </cat>
          <val>
            <numRef>
              <f>'Resumen Ejecutivo'!$G$17:$G$23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Familia de S.O.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Servidores Afectados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25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4"/>
  <sheetViews>
    <sheetView showGridLines="1" workbookViewId="0">
      <selection activeCell="A1" sqref="A1"/>
    </sheetView>
  </sheetViews>
  <sheetFormatPr baseColWidth="8" defaultRowHeight="15"/>
  <cols>
    <col width="3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38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2">
      <c r="B2" s="1" t="inlineStr">
        <is>
          <t>INFORME EJECUTIVO DE ESTADO Y SEGURIDAD DEL KERNEL</t>
        </is>
      </c>
    </row>
    <row r="3">
      <c r="B3" s="2" t="inlineStr">
        <is>
          <t>Consolidado de Auditoría de Sistemas Linux/UNIX | Hospital de la Santa Creu i Sant Pau</t>
        </is>
      </c>
    </row>
    <row r="5">
      <c r="B5" s="3" t="inlineStr">
        <is>
          <t>TOTAL AUDITADOS</t>
        </is>
      </c>
      <c r="C5" s="4" t="n"/>
      <c r="D5" s="3" t="inlineStr">
        <is>
          <t>PRODUCCIÓN</t>
        </is>
      </c>
      <c r="E5" s="4" t="n"/>
      <c r="F5" s="3" t="inlineStr">
        <is>
          <t>DESARROLLO</t>
        </is>
      </c>
      <c r="G5" s="4" t="n"/>
      <c r="H5" s="5" t="inlineStr">
        <is>
          <t>REINICIOS PENDIENTES</t>
        </is>
      </c>
      <c r="I5" s="6" t="n"/>
      <c r="J5" s="7" t="inlineStr">
        <is>
          <t>PARCHES EN REPO</t>
        </is>
      </c>
      <c r="K5" s="8" t="n"/>
      <c r="L5" s="3" t="inlineStr">
        <is>
          <t>NO ALCANZABLES</t>
        </is>
      </c>
      <c r="M5" s="4" t="n"/>
    </row>
    <row r="6">
      <c r="B6" s="9" t="n">
        <v>222</v>
      </c>
      <c r="C6" s="4" t="n"/>
      <c r="D6" s="9" t="n">
        <v>175</v>
      </c>
      <c r="E6" s="4" t="n"/>
      <c r="F6" s="9" t="n">
        <v>47</v>
      </c>
      <c r="G6" s="4" t="n"/>
      <c r="H6" s="10" t="n">
        <v>28</v>
      </c>
      <c r="I6" s="6" t="n"/>
      <c r="J6" s="11" t="n">
        <v>42</v>
      </c>
      <c r="K6" s="8" t="n"/>
      <c r="L6" s="3" t="n">
        <v>29</v>
      </c>
      <c r="M6" s="4" t="n"/>
    </row>
    <row r="7">
      <c r="B7" s="4" t="n"/>
      <c r="C7" s="4" t="n"/>
      <c r="D7" s="4" t="n"/>
      <c r="E7" s="4" t="n"/>
      <c r="F7" s="4" t="n"/>
      <c r="G7" s="4" t="n"/>
      <c r="H7" s="6" t="n"/>
      <c r="I7" s="6" t="n"/>
      <c r="J7" s="8" t="n"/>
      <c r="K7" s="8" t="n"/>
      <c r="L7" s="4" t="n"/>
      <c r="M7" s="4" t="n"/>
    </row>
    <row r="9">
      <c r="B9" s="12" t="inlineStr">
        <is>
          <t>1. Estado Operativo del Kernel por Entorno</t>
        </is>
      </c>
    </row>
    <row r="10">
      <c r="B10" s="13" t="inlineStr">
        <is>
          <t>Entorno</t>
        </is>
      </c>
      <c r="C10" s="13" t="inlineStr">
        <is>
          <t>Total Servidores</t>
        </is>
      </c>
      <c r="D10" s="13" t="inlineStr">
        <is>
          <t>Al Día (OK)</t>
        </is>
      </c>
      <c r="E10" s="13" t="inlineStr">
        <is>
          <t>Parche Pendiente</t>
        </is>
      </c>
      <c r="F10" s="13" t="inlineStr">
        <is>
          <t>Reinicio Pendiente</t>
        </is>
      </c>
      <c r="G10" s="13" t="inlineStr">
        <is>
          <t>No Alcanzable / Error</t>
        </is>
      </c>
      <c r="H10" s="13" t="inlineStr">
        <is>
          <t>% Cumplimiento</t>
        </is>
      </c>
    </row>
    <row r="11">
      <c r="B11" s="14" t="inlineStr">
        <is>
          <t>Producción</t>
        </is>
      </c>
      <c r="C11" s="15">
        <f>COUNTIF('Inventario General (222)'!B2:B223, "Produccion")</f>
        <v/>
      </c>
      <c r="D11" s="15">
        <f>COUNTIFS('Inventario General (222)'!B2:B223, "Produccion", 'Inventario General (222)'!E2:E223, "NO", 'Inventario General (222)'!F2:F223, "NO", 'Inventario General (222)'!C2:C223, "&lt;&gt;No Alcanzable / Error")</f>
        <v/>
      </c>
      <c r="E11" s="15">
        <f>COUNTIFS('Inventario General (222)'!B2:B223, "Produccion", 'Inventario General (222)'!E2:E223, "SI")</f>
        <v/>
      </c>
      <c r="F11" s="15">
        <f>COUNTIFS('Inventario General (222)'!B2:B223, "Produccion", 'Inventario General (222)'!F2:F223, "SI")</f>
        <v/>
      </c>
      <c r="G11" s="15">
        <f>COUNTIFS('Inventario General (222)'!B2:B223, "Produccion", 'Inventario General (222)'!C2:C223, "No Alcanzable / Error")</f>
        <v/>
      </c>
      <c r="H11" s="16">
        <f>D11/C11</f>
        <v/>
      </c>
    </row>
    <row r="12">
      <c r="B12" s="14" t="inlineStr">
        <is>
          <t>Desarrollo</t>
        </is>
      </c>
      <c r="C12" s="15">
        <f>COUNTIF('Inventario General (222)'!B2:B223, "Desarrollo")</f>
        <v/>
      </c>
      <c r="D12" s="15">
        <f>COUNTIFS('Inventario General (222)'!B2:B223, "Desarrollo", 'Inventario General (222)'!E2:E223, "NO", 'Inventario General (222)'!F2:F223, "NO", 'Inventario General (222)'!C2:C223, "&lt;&gt;No Alcanzable / Error")</f>
        <v/>
      </c>
      <c r="E12" s="15">
        <f>COUNTIFS('Inventario General (222)'!B2:B223, "Desarrollo", 'Inventario General (222)'!E2:E223, "SI")</f>
        <v/>
      </c>
      <c r="F12" s="15">
        <f>COUNTIFS('Inventario General (222)'!B2:B223, "Desarrollo", 'Inventario General (222)'!F2:F223, "SI")</f>
        <v/>
      </c>
      <c r="G12" s="15">
        <f>COUNTIFS('Inventario General (222)'!B2:B223, "Desarrollo", 'Inventario General (222)'!C2:C223, "No Alcanzable / Error")</f>
        <v/>
      </c>
      <c r="H12" s="16">
        <f>D12/C12</f>
        <v/>
      </c>
    </row>
    <row r="13">
      <c r="B13" s="17" t="inlineStr">
        <is>
          <t>Total General</t>
        </is>
      </c>
      <c r="C13" s="18">
        <f>SUM(C11:C12)</f>
        <v/>
      </c>
      <c r="D13" s="18">
        <f>SUM(D11:D12)</f>
        <v/>
      </c>
      <c r="E13" s="18">
        <f>SUM(E11:E12)</f>
        <v/>
      </c>
      <c r="F13" s="18">
        <f>SUM(F11:F12)</f>
        <v/>
      </c>
      <c r="G13" s="18">
        <f>SUM(G11:G12)</f>
        <v/>
      </c>
      <c r="H13" s="19">
        <f>D13/C13</f>
        <v/>
      </c>
    </row>
    <row r="15">
      <c r="B15" s="12" t="inlineStr">
        <is>
          <t>2. Inventario y Vulnerabilidad por Familia de Sistema Operativo</t>
        </is>
      </c>
    </row>
    <row r="16">
      <c r="B16" s="13" t="inlineStr">
        <is>
          <t>Familia de Sistema Operativo</t>
        </is>
      </c>
      <c r="C16" s="13" t="inlineStr">
        <is>
          <t>Total Servidores</t>
        </is>
      </c>
      <c r="D16" s="13" t="inlineStr">
        <is>
          <t>Producción</t>
        </is>
      </c>
      <c r="E16" s="13" t="inlineStr">
        <is>
          <t>Desarrollo</t>
        </is>
      </c>
      <c r="F16" s="13" t="inlineStr">
        <is>
          <t>Parches Pendientes</t>
        </is>
      </c>
      <c r="G16" s="13" t="inlineStr">
        <is>
          <t>Reinicios Pendientes</t>
        </is>
      </c>
      <c r="H16" s="13" t="inlineStr">
        <is>
          <t>Estado Soporte / Ciclo de Vida</t>
        </is>
      </c>
    </row>
    <row r="17">
      <c r="B17" s="14" t="inlineStr">
        <is>
          <t>SUSE Linux Enterprise (SLES 15/12/11)</t>
        </is>
      </c>
      <c r="C17" s="15">
        <f>COUNTIF('Inventario General (222)'!H2:H223, "SUSE Linux Enterprise (SLES)")</f>
        <v/>
      </c>
      <c r="D17" s="15">
        <f>COUNTIFS('Inventario General (222)'!H2:H223, "SUSE Linux Enterprise (SLES)", 'Inventario General (222)'!B2:B223, "Produccion")</f>
        <v/>
      </c>
      <c r="E17" s="15">
        <f>COUNTIFS('Inventario General (222)'!H2:H223, "SUSE Linux Enterprise (SLES)", 'Inventario General (222)'!B2:B223, "Desarrollo")</f>
        <v/>
      </c>
      <c r="F17" s="15">
        <f>COUNTIFS('Inventario General (222)'!H2:H223, "SUSE Linux Enterprise (SLES)", 'Inventario General (222)'!E2:E223, "SI")</f>
        <v/>
      </c>
      <c r="G17" s="15">
        <f>COUNTIFS('Inventario General (222)'!H2:H223, "SUSE Linux Enterprise (SLES)", 'Inventario General (222)'!F2:F223, "SI")</f>
        <v/>
      </c>
      <c r="H17" s="14" t="inlineStr">
        <is>
          <t>Mayoría SLES 15 (Soportado) / SLES 12 LTSS</t>
        </is>
      </c>
    </row>
    <row r="18">
      <c r="B18" s="20" t="inlineStr">
        <is>
          <t>Ubuntu Linux (22.04 / 20.04 / 16.04 / Legacy)</t>
        </is>
      </c>
      <c r="C18" s="21">
        <f>COUNTIF('Inventario General (222)'!H2:H223, "Ubuntu Linux")</f>
        <v/>
      </c>
      <c r="D18" s="21">
        <f>COUNTIFS('Inventario General (222)'!H2:H223, "Ubuntu Linux", 'Inventario General (222)'!B2:B223, "Produccion")</f>
        <v/>
      </c>
      <c r="E18" s="21">
        <f>COUNTIFS('Inventario General (222)'!H2:H223, "Ubuntu Linux", 'Inventario General (222)'!B2:B223, "Desarrollo")</f>
        <v/>
      </c>
      <c r="F18" s="21">
        <f>COUNTIFS('Inventario General (222)'!H2:H223, "Ubuntu Linux", 'Inventario General (222)'!E2:E223, "SI")</f>
        <v/>
      </c>
      <c r="G18" s="21">
        <f>COUNTIFS('Inventario General (222)'!H2:H223, "Ubuntu Linux", 'Inventario General (222)'!F2:F223, "SI")</f>
        <v/>
      </c>
      <c r="H18" s="20" t="inlineStr">
        <is>
          <t>Alta tasa de reinicios pendientes (15 en 22.04)</t>
        </is>
      </c>
    </row>
    <row r="19">
      <c r="B19" s="14" t="inlineStr">
        <is>
          <t>CentOS Linux (7.9 / 7.8 / 7.7 / 7.6 / 7.2)</t>
        </is>
      </c>
      <c r="C19" s="15">
        <f>COUNTIF('Inventario General (222)'!H2:H223, "CentOS Linux")</f>
        <v/>
      </c>
      <c r="D19" s="15">
        <f>COUNTIFS('Inventario General (222)'!H2:H223, "CentOS Linux", 'Inventario General (222)'!B2:B223, "Produccion")</f>
        <v/>
      </c>
      <c r="E19" s="15">
        <f>COUNTIFS('Inventario General (222)'!H2:H223, "CentOS Linux", 'Inventario General (222)'!B2:B223, "Desarrollo")</f>
        <v/>
      </c>
      <c r="F19" s="15">
        <f>COUNTIFS('Inventario General (222)'!H2:H223, "CentOS Linux", 'Inventario General (222)'!E2:E223, "SI")</f>
        <v/>
      </c>
      <c r="G19" s="15">
        <f>COUNTIFS('Inventario General (222)'!H2:H223, "CentOS Linux", 'Inventario General (222)'!F2:F223, "SI")</f>
        <v/>
      </c>
      <c r="H19" s="14" t="inlineStr">
        <is>
          <t>EOL (Fin de ciclo de vida estándar)</t>
        </is>
      </c>
    </row>
    <row r="20">
      <c r="B20" s="20" t="inlineStr">
        <is>
          <t>Debian GNU/Linux (12 / 10 / 8)</t>
        </is>
      </c>
      <c r="C20" s="21">
        <f>COUNTIF('Inventario General (222)'!H2:H223, "Debian GNU/Linux")</f>
        <v/>
      </c>
      <c r="D20" s="21">
        <f>COUNTIFS('Inventario General (222)'!H2:H223, "Debian GNU/Linux", 'Inventario General (222)'!B2:B223, "Produccion")</f>
        <v/>
      </c>
      <c r="E20" s="21">
        <f>COUNTIFS('Inventario General (222)'!H2:H223, "Debian GNU/Linux", 'Inventario General (222)'!B2:B223, "Desarrollo")</f>
        <v/>
      </c>
      <c r="F20" s="21">
        <f>COUNTIFS('Inventario General (222)'!H2:H223, "Debian GNU/Linux", 'Inventario General (222)'!E2:E223, "SI")</f>
        <v/>
      </c>
      <c r="G20" s="21">
        <f>COUNTIFS('Inventario General (222)'!H2:H223, "Debian GNU/Linux", 'Inventario General (222)'!F2:F223, "SI")</f>
        <v/>
      </c>
      <c r="H20" s="20" t="inlineStr">
        <is>
          <t>Debian 12 Activo / Debian 10/8 EOL</t>
        </is>
      </c>
    </row>
    <row r="21">
      <c r="B21" s="14" t="inlineStr">
        <is>
          <t>Oracle Linux (8.7 / 8.4)</t>
        </is>
      </c>
      <c r="C21" s="15">
        <f>COUNTIF('Inventario General (222)'!H2:H223, "Oracle Linux")</f>
        <v/>
      </c>
      <c r="D21" s="15">
        <f>COUNTIFS('Inventario General (222)'!H2:H223, "Oracle Linux", 'Inventario General (222)'!B2:B223, "Produccion")</f>
        <v/>
      </c>
      <c r="E21" s="15">
        <f>COUNTIFS('Inventario General (222)'!H2:H223, "Oracle Linux", 'Inventario General (222)'!B2:B223, "Desarrollo")</f>
        <v/>
      </c>
      <c r="F21" s="15">
        <f>COUNTIFS('Inventario General (222)'!H2:H223, "Oracle Linux", 'Inventario General (222)'!E2:E223, "SI")</f>
        <v/>
      </c>
      <c r="G21" s="15">
        <f>COUNTIFS('Inventario General (222)'!H2:H223, "Oracle Linux", 'Inventario General (222)'!F2:F223, "SI")</f>
        <v/>
      </c>
      <c r="H21" s="14" t="inlineStr">
        <is>
          <t>Soportado (Kernel UEK) / 3 reinicios pendientes</t>
        </is>
      </c>
    </row>
    <row r="22">
      <c r="B22" s="20" t="inlineStr">
        <is>
          <t>Red Hat Enterprise Linux / Rocky Linux</t>
        </is>
      </c>
      <c r="C22" s="21">
        <f>(COUNTIF('Inventario General (222)'!H2:H223, "Red Hat Enterprise Linux") + COUNTIF('Inventario General (222)'!H2:H223, "Rocky Linux"))</f>
        <v/>
      </c>
      <c r="D22" s="21">
        <f>(COUNTIFS('Inventario General (222)'!H2:H223, "Red Hat Enterprise Linux", 'Inventario General (222)'!B2:B223, "Produccion") + COUNTIFS('Inventario General (222)'!H2:H223, "Rocky Linux", 'Inventario General (222)'!B2:B223, "Produccion"))</f>
        <v/>
      </c>
      <c r="E22" s="21">
        <f>(COUNTIFS('Inventario General (222)'!H2:H223, "Red Hat Enterprise Linux", 'Inventario General (222)'!B2:B223, "Desarrollo") + COUNTIFS('Inventario General (222)'!H2:H223, "Rocky Linux", 'Inventario General (222)'!B2:B223, "Desarrollo"))</f>
        <v/>
      </c>
      <c r="F22" s="21">
        <f>(COUNTIFS('Inventario General (222)'!H2:H223, "Red Hat Enterprise Linux", 'Inventario General (222)'!E2:E223, "SI") + COUNTIFS('Inventario General (222)'!H2:H223, "Rocky Linux", 'Inventario General (222)'!E2:E223, "SI"))</f>
        <v/>
      </c>
      <c r="G22" s="21">
        <f>(COUNTIFS('Inventario General (222)'!H2:H223, "Red Hat Enterprise Linux", 'Inventario General (222)'!F2:F223, "SI") + COUNTIFS('Inventario General (222)'!H2:H223, "Rocky Linux", 'Inventario General (222)'!F2:F223, "SI"))</f>
        <v/>
      </c>
      <c r="H22" s="20" t="inlineStr">
        <is>
          <t>RHEL 7.2 (Legacy) / Rocky 9.x (Soportado)</t>
        </is>
      </c>
    </row>
    <row r="23">
      <c r="B23" s="14" t="inlineStr">
        <is>
          <t>No Alcanzable / Error Conexión</t>
        </is>
      </c>
      <c r="C23" s="15">
        <f>COUNTIF('Inventario General (222)'!H2:H223, "No Alcanzable / Error Conexión")</f>
        <v/>
      </c>
      <c r="D23" s="15">
        <f>COUNTIFS('Inventario General (222)'!H2:H223, "No Alcanzable / Error Conexión", 'Inventario General (222)'!B2:B223, "Produccion")</f>
        <v/>
      </c>
      <c r="E23" s="15">
        <f>COUNTIFS('Inventario General (222)'!H2:H223, "No Alcanzable / Error Conexión", 'Inventario General (222)'!B2:B223, "Desarrollo")</f>
        <v/>
      </c>
      <c r="F23" s="22" t="inlineStr">
        <is>
          <t>0</t>
        </is>
      </c>
      <c r="G23" s="22" t="inlineStr">
        <is>
          <t>0</t>
        </is>
      </c>
      <c r="H23" s="14" t="inlineStr">
        <is>
          <t>Requiere revisión SSH / Credenciales / Red</t>
        </is>
      </c>
    </row>
    <row r="24">
      <c r="B24" s="17" t="inlineStr">
        <is>
          <t>Total General</t>
        </is>
      </c>
      <c r="C24" s="18">
        <f>SUM(C17:C23)</f>
        <v/>
      </c>
      <c r="D24" s="18">
        <f>SUM(D17:D23)</f>
        <v/>
      </c>
      <c r="E24" s="18">
        <f>SUM(E17:E23)</f>
        <v/>
      </c>
      <c r="F24" s="18">
        <f>SUM(F17:F23)</f>
        <v/>
      </c>
      <c r="G24" s="18">
        <f>SUM(G17:G23)</f>
        <v/>
      </c>
      <c r="H24" s="17" t="inlineStr">
        <is>
          <t>-</t>
        </is>
      </c>
    </row>
  </sheetData>
  <mergeCells count="12">
    <mergeCell ref="J5:K5"/>
    <mergeCell ref="H6:I7"/>
    <mergeCell ref="B5:C5"/>
    <mergeCell ref="J6:K7"/>
    <mergeCell ref="F5:G5"/>
    <mergeCell ref="D5:E5"/>
    <mergeCell ref="L6:M7"/>
    <mergeCell ref="D6:E7"/>
    <mergeCell ref="B6:C7"/>
    <mergeCell ref="H5:I5"/>
    <mergeCell ref="F6:G7"/>
    <mergeCell ref="L5:M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5" customWidth="1" min="3" max="3"/>
    <col width="35" customWidth="1" min="4" max="4"/>
    <col width="26" customWidth="1" min="5" max="5"/>
    <col width="22" customWidth="1" min="6" max="6"/>
    <col width="25" customWidth="1" min="7" max="7"/>
    <col width="34" customWidth="1" min="8" max="8"/>
  </cols>
  <sheetData>
    <row r="1">
      <c r="A1" s="13" t="inlineStr">
        <is>
          <t>Servidor</t>
        </is>
      </c>
      <c r="B1" s="13" t="inlineStr">
        <is>
          <t>Entorno</t>
        </is>
      </c>
      <c r="C1" s="13" t="inlineStr">
        <is>
          <t>Distro SO</t>
        </is>
      </c>
      <c r="D1" s="13" t="inlineStr">
        <is>
          <t>Kernel Activo RAM</t>
        </is>
      </c>
      <c r="E1" s="13" t="inlineStr">
        <is>
          <t>Parche Disponible Repo</t>
        </is>
      </c>
      <c r="F1" s="13" t="inlineStr">
        <is>
          <t>Reinicio Pendiente</t>
        </is>
      </c>
      <c r="G1" s="13" t="inlineStr">
        <is>
          <t>Diagnostico Operativo</t>
        </is>
      </c>
      <c r="H1" s="13" t="inlineStr">
        <is>
          <t>Familia SO</t>
        </is>
      </c>
    </row>
    <row r="2">
      <c r="A2" s="23" t="inlineStr">
        <is>
          <t>APP-NNN</t>
        </is>
      </c>
      <c r="B2" s="24" t="inlineStr">
        <is>
          <t>Produccion</t>
        </is>
      </c>
      <c r="C2" s="23" t="inlineStr">
        <is>
          <t>SLES 15 SP5</t>
        </is>
      </c>
      <c r="D2" s="23" t="inlineStr">
        <is>
          <t>5.14.21-150500.55.59-default</t>
        </is>
      </c>
      <c r="E2" s="25" t="inlineStr">
        <is>
          <t>NO</t>
        </is>
      </c>
      <c r="F2" s="25" t="inlineStr">
        <is>
          <t>NO</t>
        </is>
      </c>
      <c r="G2" s="26" t="inlineStr">
        <is>
          <t>Al Día</t>
        </is>
      </c>
      <c r="H2" s="23" t="inlineStr">
        <is>
          <t>SUSE Linux Enterprise (SLES)</t>
        </is>
      </c>
    </row>
    <row r="3">
      <c r="A3" s="27" t="inlineStr">
        <is>
          <t>BBDDSPAUA01</t>
        </is>
      </c>
      <c r="B3" s="28" t="inlineStr">
        <is>
          <t>Produccion</t>
        </is>
      </c>
      <c r="C3" s="27" t="inlineStr">
        <is>
          <t>SLES 15 SP5</t>
        </is>
      </c>
      <c r="D3" s="27" t="inlineStr">
        <is>
          <t>5.14.21-150500.55.59-default</t>
        </is>
      </c>
      <c r="E3" s="29" t="inlineStr">
        <is>
          <t>NO</t>
        </is>
      </c>
      <c r="F3" s="29" t="inlineStr">
        <is>
          <t>NO</t>
        </is>
      </c>
      <c r="G3" s="26" t="inlineStr">
        <is>
          <t>Al Día</t>
        </is>
      </c>
      <c r="H3" s="27" t="inlineStr">
        <is>
          <t>SUSE Linux Enterprise (SLES)</t>
        </is>
      </c>
    </row>
    <row r="4">
      <c r="A4" s="23" t="inlineStr">
        <is>
          <t>DWH01</t>
        </is>
      </c>
      <c r="B4" s="24" t="inlineStr">
        <is>
          <t>Produccion</t>
        </is>
      </c>
      <c r="C4" s="23" t="inlineStr">
        <is>
          <t>SLES 15 SP4</t>
        </is>
      </c>
      <c r="D4" s="23" t="inlineStr">
        <is>
          <t>5.14.21-150400.24.38-default</t>
        </is>
      </c>
      <c r="E4" s="25" t="inlineStr">
        <is>
          <t>NO</t>
        </is>
      </c>
      <c r="F4" s="25" t="inlineStr">
        <is>
          <t>NO</t>
        </is>
      </c>
      <c r="G4" s="26" t="inlineStr">
        <is>
          <t>Al Día</t>
        </is>
      </c>
      <c r="H4" s="23" t="inlineStr">
        <is>
          <t>SUSE Linux Enterprise (SLES)</t>
        </is>
      </c>
    </row>
    <row r="5">
      <c r="A5" s="27" t="inlineStr">
        <is>
          <t>DWH02</t>
        </is>
      </c>
      <c r="B5" s="28" t="inlineStr">
        <is>
          <t>Produccion</t>
        </is>
      </c>
      <c r="C5" s="27" t="inlineStr">
        <is>
          <t>SLES 15 SP4</t>
        </is>
      </c>
      <c r="D5" s="27" t="inlineStr">
        <is>
          <t>5.14.21-150400.24.38-default</t>
        </is>
      </c>
      <c r="E5" s="29" t="inlineStr">
        <is>
          <t>NO</t>
        </is>
      </c>
      <c r="F5" s="29" t="inlineStr">
        <is>
          <t>NO</t>
        </is>
      </c>
      <c r="G5" s="26" t="inlineStr">
        <is>
          <t>Al Día</t>
        </is>
      </c>
      <c r="H5" s="27" t="inlineStr">
        <is>
          <t>SUSE Linux Enterprise (SLES)</t>
        </is>
      </c>
    </row>
    <row r="6">
      <c r="A6" s="23" t="inlineStr">
        <is>
          <t>ETCCONS01</t>
        </is>
      </c>
      <c r="B6" s="24" t="inlineStr">
        <is>
          <t>Produccion</t>
        </is>
      </c>
      <c r="C6" s="23" t="inlineStr">
        <is>
          <t>SLES 15 SP4</t>
        </is>
      </c>
      <c r="D6" s="23" t="inlineStr">
        <is>
          <t>5.14.21-150400.24.38-default</t>
        </is>
      </c>
      <c r="E6" s="25" t="inlineStr">
        <is>
          <t>NO</t>
        </is>
      </c>
      <c r="F6" s="25" t="inlineStr">
        <is>
          <t>NO</t>
        </is>
      </c>
      <c r="G6" s="26" t="inlineStr">
        <is>
          <t>Al Día</t>
        </is>
      </c>
      <c r="H6" s="23" t="inlineStr">
        <is>
          <t>SUSE Linux Enterprise (SLES)</t>
        </is>
      </c>
    </row>
    <row r="7">
      <c r="A7" s="27" t="inlineStr">
        <is>
          <t>EXHSP-PROXY-PASS</t>
        </is>
      </c>
      <c r="B7" s="28" t="inlineStr">
        <is>
          <t>Produccion</t>
        </is>
      </c>
      <c r="C7" s="27" t="inlineStr">
        <is>
          <t>SLES 15 SP2</t>
        </is>
      </c>
      <c r="D7" s="27" t="inlineStr">
        <is>
          <t>5.3.18-24.86-default</t>
        </is>
      </c>
      <c r="E7" s="29" t="inlineStr">
        <is>
          <t>NO</t>
        </is>
      </c>
      <c r="F7" s="29" t="inlineStr">
        <is>
          <t>NO</t>
        </is>
      </c>
      <c r="G7" s="26" t="inlineStr">
        <is>
          <t>Al Día</t>
        </is>
      </c>
      <c r="H7" s="27" t="inlineStr">
        <is>
          <t>SUSE Linux Enterprise (SLES)</t>
        </is>
      </c>
    </row>
    <row r="8">
      <c r="A8" s="23" t="inlineStr">
        <is>
          <t>EXHSP-PROXY-PASS-INT</t>
        </is>
      </c>
      <c r="B8" s="24" t="inlineStr">
        <is>
          <t>Produccion</t>
        </is>
      </c>
      <c r="C8" s="23" t="inlineStr">
        <is>
          <t>SLES 15 SP2</t>
        </is>
      </c>
      <c r="D8" s="23" t="inlineStr">
        <is>
          <t>5.3.18-24.83-default</t>
        </is>
      </c>
      <c r="E8" s="25" t="inlineStr">
        <is>
          <t>NO</t>
        </is>
      </c>
      <c r="F8" s="25" t="inlineStr">
        <is>
          <t>NO</t>
        </is>
      </c>
      <c r="G8" s="26" t="inlineStr">
        <is>
          <t>Al Día</t>
        </is>
      </c>
      <c r="H8" s="23" t="inlineStr">
        <is>
          <t>SUSE Linux Enterprise (SLES)</t>
        </is>
      </c>
    </row>
    <row r="9">
      <c r="A9" s="27" t="inlineStr">
        <is>
          <t>EXHSP-PROXY-PASS-INT_CLONE</t>
        </is>
      </c>
      <c r="B9" s="28" t="inlineStr">
        <is>
          <t>Produccion</t>
        </is>
      </c>
      <c r="C9" s="27" t="inlineStr">
        <is>
          <t>No Alcanzable / Error</t>
        </is>
      </c>
      <c r="D9" s="27" t="inlineStr">
        <is>
          <t>-</t>
        </is>
      </c>
      <c r="E9" s="29" t="inlineStr">
        <is>
          <t>NO</t>
        </is>
      </c>
      <c r="F9" s="29" t="inlineStr">
        <is>
          <t>NO</t>
        </is>
      </c>
      <c r="G9" s="30" t="inlineStr">
        <is>
          <t>No Alcanzable / Error</t>
        </is>
      </c>
      <c r="H9" s="27" t="inlineStr">
        <is>
          <t>No Alcanzable / Error Conexión</t>
        </is>
      </c>
    </row>
    <row r="10">
      <c r="A10" s="23" t="inlineStr">
        <is>
          <t>FAMAAFM02</t>
        </is>
      </c>
      <c r="B10" s="24" t="inlineStr">
        <is>
          <t>Produccion</t>
        </is>
      </c>
      <c r="C10" s="23" t="inlineStr">
        <is>
          <t>SLES 15 SP4</t>
        </is>
      </c>
      <c r="D10" s="23" t="inlineStr">
        <is>
          <t>5.14.21-150400.24.38-default</t>
        </is>
      </c>
      <c r="E10" s="25" t="inlineStr">
        <is>
          <t>NO</t>
        </is>
      </c>
      <c r="F10" s="25" t="inlineStr">
        <is>
          <t>NO</t>
        </is>
      </c>
      <c r="G10" s="26" t="inlineStr">
        <is>
          <t>Al Día</t>
        </is>
      </c>
      <c r="H10" s="23" t="inlineStr">
        <is>
          <t>SUSE Linux Enterprise (SLES)</t>
        </is>
      </c>
    </row>
    <row r="11">
      <c r="A11" s="27" t="inlineStr">
        <is>
          <t>FTP01</t>
        </is>
      </c>
      <c r="B11" s="28" t="inlineStr">
        <is>
          <t>Produccion</t>
        </is>
      </c>
      <c r="C11" s="27" t="inlineStr">
        <is>
          <t>SLES 15 SP7</t>
        </is>
      </c>
      <c r="D11" s="27" t="inlineStr">
        <is>
          <t>6.4.0-150700.53.6-default</t>
        </is>
      </c>
      <c r="E11" s="29" t="inlineStr">
        <is>
          <t>NO</t>
        </is>
      </c>
      <c r="F11" s="29" t="inlineStr">
        <is>
          <t>NO</t>
        </is>
      </c>
      <c r="G11" s="26" t="inlineStr">
        <is>
          <t>Al Día</t>
        </is>
      </c>
      <c r="H11" s="27" t="inlineStr">
        <is>
          <t>SUSE Linux Enterprise (SLES)</t>
        </is>
      </c>
    </row>
    <row r="12">
      <c r="A12" s="23" t="inlineStr">
        <is>
          <t>GEFACT02</t>
        </is>
      </c>
      <c r="B12" s="24" t="inlineStr">
        <is>
          <t>Produccion</t>
        </is>
      </c>
      <c r="C12" s="23" t="inlineStr">
        <is>
          <t>SLES 15 SP3</t>
        </is>
      </c>
      <c r="D12" s="23" t="inlineStr">
        <is>
          <t>5.3.18-150300.59.49-default</t>
        </is>
      </c>
      <c r="E12" s="25" t="inlineStr">
        <is>
          <t>NO</t>
        </is>
      </c>
      <c r="F12" s="25" t="inlineStr">
        <is>
          <t>NO</t>
        </is>
      </c>
      <c r="G12" s="26" t="inlineStr">
        <is>
          <t>Al Día</t>
        </is>
      </c>
      <c r="H12" s="23" t="inlineStr">
        <is>
          <t>SUSE Linux Enterprise (SLES)</t>
        </is>
      </c>
    </row>
    <row r="13">
      <c r="A13" s="27" t="inlineStr">
        <is>
          <t>GOTA04</t>
        </is>
      </c>
      <c r="B13" s="28" t="inlineStr">
        <is>
          <t>Produccion</t>
        </is>
      </c>
      <c r="C13" s="27" t="inlineStr">
        <is>
          <t>SLES 15 SP3</t>
        </is>
      </c>
      <c r="D13" s="27" t="inlineStr">
        <is>
          <t>5.3.18-150300.59.49-default</t>
        </is>
      </c>
      <c r="E13" s="29" t="inlineStr">
        <is>
          <t>NO</t>
        </is>
      </c>
      <c r="F13" s="29" t="inlineStr">
        <is>
          <t>NO</t>
        </is>
      </c>
      <c r="G13" s="26" t="inlineStr">
        <is>
          <t>Al Día</t>
        </is>
      </c>
      <c r="H13" s="27" t="inlineStr">
        <is>
          <t>SUSE Linux Enterprise (SLES)</t>
        </is>
      </c>
    </row>
    <row r="14">
      <c r="A14" s="23" t="inlineStr">
        <is>
          <t>INFORMESDB01</t>
        </is>
      </c>
      <c r="B14" s="24" t="inlineStr">
        <is>
          <t>Produccion</t>
        </is>
      </c>
      <c r="C14" s="23" t="inlineStr">
        <is>
          <t>SLES 15 SP4</t>
        </is>
      </c>
      <c r="D14" s="23" t="inlineStr">
        <is>
          <t>5.14.21-150400.24.38-default</t>
        </is>
      </c>
      <c r="E14" s="25" t="inlineStr">
        <is>
          <t>NO</t>
        </is>
      </c>
      <c r="F14" s="25" t="inlineStr">
        <is>
          <t>NO</t>
        </is>
      </c>
      <c r="G14" s="26" t="inlineStr">
        <is>
          <t>Al Día</t>
        </is>
      </c>
      <c r="H14" s="23" t="inlineStr">
        <is>
          <t>SUSE Linux Enterprise (SLES)</t>
        </is>
      </c>
    </row>
    <row r="15">
      <c r="A15" s="27" t="inlineStr">
        <is>
          <t>INTRANETHSP03</t>
        </is>
      </c>
      <c r="B15" s="28" t="inlineStr">
        <is>
          <t>Produccion</t>
        </is>
      </c>
      <c r="C15" s="27" t="inlineStr">
        <is>
          <t>SLES 15 SP6</t>
        </is>
      </c>
      <c r="D15" s="27" t="inlineStr">
        <is>
          <t>6.4.0-150600.23.30-default</t>
        </is>
      </c>
      <c r="E15" s="31" t="inlineStr">
        <is>
          <t>SI</t>
        </is>
      </c>
      <c r="F15" s="29" t="inlineStr">
        <is>
          <t>NO</t>
        </is>
      </c>
      <c r="G15" s="32" t="inlineStr">
        <is>
          <t>Parche Disponible</t>
        </is>
      </c>
      <c r="H15" s="27" t="inlineStr">
        <is>
          <t>SUSE Linux Enterprise (SLES)</t>
        </is>
      </c>
    </row>
    <row r="16">
      <c r="A16" s="23" t="inlineStr">
        <is>
          <t>INTRANETHSP04</t>
        </is>
      </c>
      <c r="B16" s="24" t="inlineStr">
        <is>
          <t>Produccion</t>
        </is>
      </c>
      <c r="C16" s="23" t="inlineStr">
        <is>
          <t>SLES 15 SP5</t>
        </is>
      </c>
      <c r="D16" s="23" t="inlineStr">
        <is>
          <t>5.14.21-150500.55.44-default</t>
        </is>
      </c>
      <c r="E16" s="25" t="inlineStr">
        <is>
          <t>NO</t>
        </is>
      </c>
      <c r="F16" s="25" t="inlineStr">
        <is>
          <t>NO</t>
        </is>
      </c>
      <c r="G16" s="26" t="inlineStr">
        <is>
          <t>Al Día</t>
        </is>
      </c>
      <c r="H16" s="23" t="inlineStr">
        <is>
          <t>SUSE Linux Enterprise (SLES)</t>
        </is>
      </c>
    </row>
    <row r="17">
      <c r="A17" s="27" t="inlineStr">
        <is>
          <t>IPQUORUM03</t>
        </is>
      </c>
      <c r="B17" s="28" t="inlineStr">
        <is>
          <t>Produccion</t>
        </is>
      </c>
      <c r="C17" s="27" t="inlineStr">
        <is>
          <t>SLES 15 SP2</t>
        </is>
      </c>
      <c r="D17" s="27" t="inlineStr">
        <is>
          <t>5.3.18-24.52-default</t>
        </is>
      </c>
      <c r="E17" s="29" t="inlineStr">
        <is>
          <t>NO</t>
        </is>
      </c>
      <c r="F17" s="29" t="inlineStr">
        <is>
          <t>NO</t>
        </is>
      </c>
      <c r="G17" s="26" t="inlineStr">
        <is>
          <t>Al Día</t>
        </is>
      </c>
      <c r="H17" s="27" t="inlineStr">
        <is>
          <t>SUSE Linux Enterprise (SLES)</t>
        </is>
      </c>
    </row>
    <row r="18">
      <c r="A18" s="23" t="inlineStr">
        <is>
          <t>IPQUORUM04</t>
        </is>
      </c>
      <c r="B18" s="24" t="inlineStr">
        <is>
          <t>Produccion</t>
        </is>
      </c>
      <c r="C18" s="23" t="inlineStr">
        <is>
          <t>SLES 15 SP2</t>
        </is>
      </c>
      <c r="D18" s="23" t="inlineStr">
        <is>
          <t>5.3.18-24.52-default</t>
        </is>
      </c>
      <c r="E18" s="25" t="inlineStr">
        <is>
          <t>NO</t>
        </is>
      </c>
      <c r="F18" s="25" t="inlineStr">
        <is>
          <t>NO</t>
        </is>
      </c>
      <c r="G18" s="26" t="inlineStr">
        <is>
          <t>Al Día</t>
        </is>
      </c>
      <c r="H18" s="23" t="inlineStr">
        <is>
          <t>SUSE Linux Enterprise (SLES)</t>
        </is>
      </c>
    </row>
    <row r="19">
      <c r="A19" s="27" t="inlineStr">
        <is>
          <t>IPQUORUM05</t>
        </is>
      </c>
      <c r="B19" s="28" t="inlineStr">
        <is>
          <t>Produccion</t>
        </is>
      </c>
      <c r="C19" s="27" t="inlineStr">
        <is>
          <t>SLES 15 SP7</t>
        </is>
      </c>
      <c r="D19" s="27" t="inlineStr">
        <is>
          <t>6.4.0-150700.53.19-default</t>
        </is>
      </c>
      <c r="E19" s="31" t="inlineStr">
        <is>
          <t>SI</t>
        </is>
      </c>
      <c r="F19" s="29" t="inlineStr">
        <is>
          <t>NO</t>
        </is>
      </c>
      <c r="G19" s="32" t="inlineStr">
        <is>
          <t>Parche Disponible</t>
        </is>
      </c>
      <c r="H19" s="27" t="inlineStr">
        <is>
          <t>SUSE Linux Enterprise (SLES)</t>
        </is>
      </c>
    </row>
    <row r="20">
      <c r="A20" s="23" t="inlineStr">
        <is>
          <t>IPQUORUM06</t>
        </is>
      </c>
      <c r="B20" s="24" t="inlineStr">
        <is>
          <t>Produccion</t>
        </is>
      </c>
      <c r="C20" s="23" t="inlineStr">
        <is>
          <t>SLES 15 SP7</t>
        </is>
      </c>
      <c r="D20" s="23" t="inlineStr">
        <is>
          <t>6.4.0-150700.53.19-default</t>
        </is>
      </c>
      <c r="E20" s="31" t="inlineStr">
        <is>
          <t>SI</t>
        </is>
      </c>
      <c r="F20" s="25" t="inlineStr">
        <is>
          <t>NO</t>
        </is>
      </c>
      <c r="G20" s="32" t="inlineStr">
        <is>
          <t>Parche Disponible</t>
        </is>
      </c>
      <c r="H20" s="23" t="inlineStr">
        <is>
          <t>SUSE Linux Enterprise (SLES)</t>
        </is>
      </c>
    </row>
    <row r="21">
      <c r="A21" s="27" t="inlineStr">
        <is>
          <t>JIRAHSPBD</t>
        </is>
      </c>
      <c r="B21" s="28" t="inlineStr">
        <is>
          <t>Produccion</t>
        </is>
      </c>
      <c r="C21" s="27" t="inlineStr">
        <is>
          <t>SLES 15 SP4</t>
        </is>
      </c>
      <c r="D21" s="27" t="inlineStr">
        <is>
          <t>5.14.21-150400.24.100-default</t>
        </is>
      </c>
      <c r="E21" s="29" t="inlineStr">
        <is>
          <t>NO</t>
        </is>
      </c>
      <c r="F21" s="29" t="inlineStr">
        <is>
          <t>NO</t>
        </is>
      </c>
      <c r="G21" s="26" t="inlineStr">
        <is>
          <t>Al Día</t>
        </is>
      </c>
      <c r="H21" s="27" t="inlineStr">
        <is>
          <t>SUSE Linux Enterprise (SLES)</t>
        </is>
      </c>
    </row>
    <row r="22">
      <c r="A22" s="23" t="inlineStr">
        <is>
          <t>MONGODB</t>
        </is>
      </c>
      <c r="B22" s="24" t="inlineStr">
        <is>
          <t>Produccion</t>
        </is>
      </c>
      <c r="C22" s="23" t="inlineStr">
        <is>
          <t>SLES 15 SP4</t>
        </is>
      </c>
      <c r="D22" s="23" t="inlineStr">
        <is>
          <t>5.14.21-150400.24.38-default</t>
        </is>
      </c>
      <c r="E22" s="25" t="inlineStr">
        <is>
          <t>NO</t>
        </is>
      </c>
      <c r="F22" s="25" t="inlineStr">
        <is>
          <t>NO</t>
        </is>
      </c>
      <c r="G22" s="26" t="inlineStr">
        <is>
          <t>Al Día</t>
        </is>
      </c>
      <c r="H22" s="23" t="inlineStr">
        <is>
          <t>SUSE Linux Enterprise (SLES)</t>
        </is>
      </c>
    </row>
    <row r="23">
      <c r="A23" s="27" t="inlineStr">
        <is>
          <t>MONGODB01</t>
        </is>
      </c>
      <c r="B23" s="28" t="inlineStr">
        <is>
          <t>Produccion</t>
        </is>
      </c>
      <c r="C23" s="27" t="inlineStr">
        <is>
          <t>SLES 15 SP4</t>
        </is>
      </c>
      <c r="D23" s="27" t="inlineStr">
        <is>
          <t>5.14.21-150400.24.38-default</t>
        </is>
      </c>
      <c r="E23" s="29" t="inlineStr">
        <is>
          <t>NO</t>
        </is>
      </c>
      <c r="F23" s="29" t="inlineStr">
        <is>
          <t>NO</t>
        </is>
      </c>
      <c r="G23" s="26" t="inlineStr">
        <is>
          <t>Al Día</t>
        </is>
      </c>
      <c r="H23" s="27" t="inlineStr">
        <is>
          <t>SUSE Linux Enterprise (SLES)</t>
        </is>
      </c>
    </row>
    <row r="24">
      <c r="A24" s="23" t="inlineStr">
        <is>
          <t>MONGODB02</t>
        </is>
      </c>
      <c r="B24" s="24" t="inlineStr">
        <is>
          <t>Produccion</t>
        </is>
      </c>
      <c r="C24" s="23" t="inlineStr">
        <is>
          <t>SLES 15 SP4</t>
        </is>
      </c>
      <c r="D24" s="23" t="inlineStr">
        <is>
          <t>5.14.21-150400.24.38-default</t>
        </is>
      </c>
      <c r="E24" s="25" t="inlineStr">
        <is>
          <t>NO</t>
        </is>
      </c>
      <c r="F24" s="25" t="inlineStr">
        <is>
          <t>NO</t>
        </is>
      </c>
      <c r="G24" s="26" t="inlineStr">
        <is>
          <t>Al Día</t>
        </is>
      </c>
      <c r="H24" s="23" t="inlineStr">
        <is>
          <t>SUSE Linux Enterprise (SLES)</t>
        </is>
      </c>
    </row>
    <row r="25">
      <c r="A25" s="27" t="inlineStr">
        <is>
          <t>MONGODB03</t>
        </is>
      </c>
      <c r="B25" s="28" t="inlineStr">
        <is>
          <t>Produccion</t>
        </is>
      </c>
      <c r="C25" s="27" t="inlineStr">
        <is>
          <t>SLES 15 SP4</t>
        </is>
      </c>
      <c r="D25" s="27" t="inlineStr">
        <is>
          <t>5.14.21-150400.24.38-default</t>
        </is>
      </c>
      <c r="E25" s="29" t="inlineStr">
        <is>
          <t>NO</t>
        </is>
      </c>
      <c r="F25" s="29" t="inlineStr">
        <is>
          <t>NO</t>
        </is>
      </c>
      <c r="G25" s="26" t="inlineStr">
        <is>
          <t>Al Día</t>
        </is>
      </c>
      <c r="H25" s="27" t="inlineStr">
        <is>
          <t>SUSE Linux Enterprise (SLES)</t>
        </is>
      </c>
    </row>
    <row r="26">
      <c r="A26" s="23" t="inlineStr">
        <is>
          <t>MONGODB04</t>
        </is>
      </c>
      <c r="B26" s="24" t="inlineStr">
        <is>
          <t>Produccion</t>
        </is>
      </c>
      <c r="C26" s="23" t="inlineStr">
        <is>
          <t>SLES 15 SP4</t>
        </is>
      </c>
      <c r="D26" s="23" t="inlineStr">
        <is>
          <t>5.14.21-150400.24.38-default</t>
        </is>
      </c>
      <c r="E26" s="25" t="inlineStr">
        <is>
          <t>NO</t>
        </is>
      </c>
      <c r="F26" s="25" t="inlineStr">
        <is>
          <t>NO</t>
        </is>
      </c>
      <c r="G26" s="26" t="inlineStr">
        <is>
          <t>Al Día</t>
        </is>
      </c>
      <c r="H26" s="23" t="inlineStr">
        <is>
          <t>SUSE Linux Enterprise (SLES)</t>
        </is>
      </c>
    </row>
    <row r="27">
      <c r="A27" s="27" t="inlineStr">
        <is>
          <t>MOVISALUD01</t>
        </is>
      </c>
      <c r="B27" s="28" t="inlineStr">
        <is>
          <t>Produccion</t>
        </is>
      </c>
      <c r="C27" s="27" t="inlineStr">
        <is>
          <t>SLES 15 SP7</t>
        </is>
      </c>
      <c r="D27" s="27" t="inlineStr">
        <is>
          <t>6.4.0-150700.53.19-default</t>
        </is>
      </c>
      <c r="E27" s="31" t="inlineStr">
        <is>
          <t>SI</t>
        </is>
      </c>
      <c r="F27" s="29" t="inlineStr">
        <is>
          <t>NO</t>
        </is>
      </c>
      <c r="G27" s="32" t="inlineStr">
        <is>
          <t>Parche Disponible</t>
        </is>
      </c>
      <c r="H27" s="27" t="inlineStr">
        <is>
          <t>SUSE Linux Enterprise (SLES)</t>
        </is>
      </c>
    </row>
    <row r="28">
      <c r="A28" s="23" t="inlineStr">
        <is>
          <t>MOVISALUDBD01</t>
        </is>
      </c>
      <c r="B28" s="24" t="inlineStr">
        <is>
          <t>Produccion</t>
        </is>
      </c>
      <c r="C28" s="23" t="inlineStr">
        <is>
          <t>SLES 15 SP7</t>
        </is>
      </c>
      <c r="D28" s="23" t="inlineStr">
        <is>
          <t>6.4.0-150700.53.19-default</t>
        </is>
      </c>
      <c r="E28" s="31" t="inlineStr">
        <is>
          <t>SI</t>
        </is>
      </c>
      <c r="F28" s="25" t="inlineStr">
        <is>
          <t>NO</t>
        </is>
      </c>
      <c r="G28" s="32" t="inlineStr">
        <is>
          <t>Parche Disponible</t>
        </is>
      </c>
      <c r="H28" s="23" t="inlineStr">
        <is>
          <t>SUSE Linux Enterprise (SLES)</t>
        </is>
      </c>
    </row>
    <row r="29">
      <c r="A29" s="27" t="inlineStr">
        <is>
          <t>MOVISALUDINV01</t>
        </is>
      </c>
      <c r="B29" s="28" t="inlineStr">
        <is>
          <t>Produccion</t>
        </is>
      </c>
      <c r="C29" s="27" t="inlineStr">
        <is>
          <t>SLES 15 SP7</t>
        </is>
      </c>
      <c r="D29" s="27" t="inlineStr">
        <is>
          <t>6.4.0-150700.53.19-default</t>
        </is>
      </c>
      <c r="E29" s="31" t="inlineStr">
        <is>
          <t>SI</t>
        </is>
      </c>
      <c r="F29" s="29" t="inlineStr">
        <is>
          <t>NO</t>
        </is>
      </c>
      <c r="G29" s="32" t="inlineStr">
        <is>
          <t>Parche Disponible</t>
        </is>
      </c>
      <c r="H29" s="27" t="inlineStr">
        <is>
          <t>SUSE Linux Enterprise (SLES)</t>
        </is>
      </c>
    </row>
    <row r="30">
      <c r="A30" s="23" t="inlineStr">
        <is>
          <t>MOVISALUDINVSQL</t>
        </is>
      </c>
      <c r="B30" s="24" t="inlineStr">
        <is>
          <t>Produccion</t>
        </is>
      </c>
      <c r="C30" s="23" t="inlineStr">
        <is>
          <t>SLES 15 SP7</t>
        </is>
      </c>
      <c r="D30" s="23" t="inlineStr">
        <is>
          <t>6.4.0-150700.53.19-default</t>
        </is>
      </c>
      <c r="E30" s="31" t="inlineStr">
        <is>
          <t>SI</t>
        </is>
      </c>
      <c r="F30" s="25" t="inlineStr">
        <is>
          <t>NO</t>
        </is>
      </c>
      <c r="G30" s="32" t="inlineStr">
        <is>
          <t>Parche Disponible</t>
        </is>
      </c>
      <c r="H30" s="23" t="inlineStr">
        <is>
          <t>SUSE Linux Enterprise (SLES)</t>
        </is>
      </c>
    </row>
    <row r="31">
      <c r="A31" s="27" t="inlineStr">
        <is>
          <t>OMIQ01</t>
        </is>
      </c>
      <c r="B31" s="28" t="inlineStr">
        <is>
          <t>Produccion</t>
        </is>
      </c>
      <c r="C31" s="27" t="inlineStr">
        <is>
          <t>SLES 15 SP7</t>
        </is>
      </c>
      <c r="D31" s="27" t="inlineStr">
        <is>
          <t>6.4.0-150700.53.40-default</t>
        </is>
      </c>
      <c r="E31" s="31" t="inlineStr">
        <is>
          <t>SI</t>
        </is>
      </c>
      <c r="F31" s="29" t="inlineStr">
        <is>
          <t>NO</t>
        </is>
      </c>
      <c r="G31" s="32" t="inlineStr">
        <is>
          <t>Parche Disponible</t>
        </is>
      </c>
      <c r="H31" s="27" t="inlineStr">
        <is>
          <t>SUSE Linux Enterprise (SLES)</t>
        </is>
      </c>
    </row>
    <row r="32">
      <c r="A32" s="23" t="inlineStr">
        <is>
          <t>OMIQ01SQL</t>
        </is>
      </c>
      <c r="B32" s="24" t="inlineStr">
        <is>
          <t>Produccion</t>
        </is>
      </c>
      <c r="C32" s="23" t="inlineStr">
        <is>
          <t>SLES 15 SP7</t>
        </is>
      </c>
      <c r="D32" s="23" t="inlineStr">
        <is>
          <t>6.4.0-150700.53.25-default</t>
        </is>
      </c>
      <c r="E32" s="31" t="inlineStr">
        <is>
          <t>SI</t>
        </is>
      </c>
      <c r="F32" s="25" t="inlineStr">
        <is>
          <t>NO</t>
        </is>
      </c>
      <c r="G32" s="32" t="inlineStr">
        <is>
          <t>Parche Disponible</t>
        </is>
      </c>
      <c r="H32" s="23" t="inlineStr">
        <is>
          <t>SUSE Linux Enterprise (SLES)</t>
        </is>
      </c>
    </row>
    <row r="33">
      <c r="A33" s="27" t="inlineStr">
        <is>
          <t>OPSMANAGER01</t>
        </is>
      </c>
      <c r="B33" s="28" t="inlineStr">
        <is>
          <t>Produccion</t>
        </is>
      </c>
      <c r="C33" s="27" t="inlineStr">
        <is>
          <t>SLES 15 SP4</t>
        </is>
      </c>
      <c r="D33" s="27" t="inlineStr">
        <is>
          <t>5.14.21-150400.24.38-default</t>
        </is>
      </c>
      <c r="E33" s="29" t="inlineStr">
        <is>
          <t>NO</t>
        </is>
      </c>
      <c r="F33" s="29" t="inlineStr">
        <is>
          <t>NO</t>
        </is>
      </c>
      <c r="G33" s="26" t="inlineStr">
        <is>
          <t>Al Día</t>
        </is>
      </c>
      <c r="H33" s="27" t="inlineStr">
        <is>
          <t>SUSE Linux Enterprise (SLES)</t>
        </is>
      </c>
    </row>
    <row r="34">
      <c r="A34" s="23" t="inlineStr">
        <is>
          <t>PATWINDB02</t>
        </is>
      </c>
      <c r="B34" s="24" t="inlineStr">
        <is>
          <t>Produccion</t>
        </is>
      </c>
      <c r="C34" s="23" t="inlineStr">
        <is>
          <t>SLES 15 SP3</t>
        </is>
      </c>
      <c r="D34" s="23" t="inlineStr">
        <is>
          <t>5.3.18-150300.59.49-default</t>
        </is>
      </c>
      <c r="E34" s="25" t="inlineStr">
        <is>
          <t>NO</t>
        </is>
      </c>
      <c r="F34" s="25" t="inlineStr">
        <is>
          <t>NO</t>
        </is>
      </c>
      <c r="G34" s="26" t="inlineStr">
        <is>
          <t>Al Día</t>
        </is>
      </c>
      <c r="H34" s="23" t="inlineStr">
        <is>
          <t>SUSE Linux Enterprise (SLES)</t>
        </is>
      </c>
    </row>
    <row r="35">
      <c r="A35" s="27" t="inlineStr">
        <is>
          <t>PIP01</t>
        </is>
      </c>
      <c r="B35" s="28" t="inlineStr">
        <is>
          <t>Produccion</t>
        </is>
      </c>
      <c r="C35" s="27" t="inlineStr">
        <is>
          <t>SLES 15 SP4</t>
        </is>
      </c>
      <c r="D35" s="27" t="inlineStr">
        <is>
          <t>5.14.21-150400.24.38-default</t>
        </is>
      </c>
      <c r="E35" s="29" t="inlineStr">
        <is>
          <t>NO</t>
        </is>
      </c>
      <c r="F35" s="29" t="inlineStr">
        <is>
          <t>NO</t>
        </is>
      </c>
      <c r="G35" s="26" t="inlineStr">
        <is>
          <t>Al Día</t>
        </is>
      </c>
      <c r="H35" s="27" t="inlineStr">
        <is>
          <t>SUSE Linux Enterprise (SLES)</t>
        </is>
      </c>
    </row>
    <row r="36">
      <c r="A36" s="23" t="inlineStr">
        <is>
          <t>PIPDB</t>
        </is>
      </c>
      <c r="B36" s="24" t="inlineStr">
        <is>
          <t>Produccion</t>
        </is>
      </c>
      <c r="C36" s="23" t="inlineStr">
        <is>
          <t>SLES 15 SP4</t>
        </is>
      </c>
      <c r="D36" s="23" t="inlineStr">
        <is>
          <t>5.14.21-150400.24.38-default</t>
        </is>
      </c>
      <c r="E36" s="25" t="inlineStr">
        <is>
          <t>NO</t>
        </is>
      </c>
      <c r="F36" s="25" t="inlineStr">
        <is>
          <t>NO</t>
        </is>
      </c>
      <c r="G36" s="26" t="inlineStr">
        <is>
          <t>Al Día</t>
        </is>
      </c>
      <c r="H36" s="23" t="inlineStr">
        <is>
          <t>SUSE Linux Enterprise (SLES)</t>
        </is>
      </c>
    </row>
    <row r="37">
      <c r="A37" s="27" t="inlineStr">
        <is>
          <t>PIQ01</t>
        </is>
      </c>
      <c r="B37" s="28" t="inlineStr">
        <is>
          <t>Produccion</t>
        </is>
      </c>
      <c r="C37" s="27" t="inlineStr">
        <is>
          <t>SLES 15 SP4</t>
        </is>
      </c>
      <c r="D37" s="27" t="inlineStr">
        <is>
          <t>5.14.21-150400.24.38-default</t>
        </is>
      </c>
      <c r="E37" s="29" t="inlineStr">
        <is>
          <t>NO</t>
        </is>
      </c>
      <c r="F37" s="29" t="inlineStr">
        <is>
          <t>NO</t>
        </is>
      </c>
      <c r="G37" s="26" t="inlineStr">
        <is>
          <t>Al Día</t>
        </is>
      </c>
      <c r="H37" s="27" t="inlineStr">
        <is>
          <t>SUSE Linux Enterprise (SLES)</t>
        </is>
      </c>
    </row>
    <row r="38">
      <c r="A38" s="23" t="inlineStr">
        <is>
          <t>PIQDB</t>
        </is>
      </c>
      <c r="B38" s="24" t="inlineStr">
        <is>
          <t>Produccion</t>
        </is>
      </c>
      <c r="C38" s="23" t="inlineStr">
        <is>
          <t>SLES 15 SP4</t>
        </is>
      </c>
      <c r="D38" s="23" t="inlineStr">
        <is>
          <t>5.14.21-150400.24.38-default</t>
        </is>
      </c>
      <c r="E38" s="25" t="inlineStr">
        <is>
          <t>NO</t>
        </is>
      </c>
      <c r="F38" s="25" t="inlineStr">
        <is>
          <t>NO</t>
        </is>
      </c>
      <c r="G38" s="26" t="inlineStr">
        <is>
          <t>Al Día</t>
        </is>
      </c>
      <c r="H38" s="23" t="inlineStr">
        <is>
          <t>SUSE Linux Enterprise (SLES)</t>
        </is>
      </c>
    </row>
    <row r="39">
      <c r="A39" s="27" t="inlineStr">
        <is>
          <t>PROXY-PASS</t>
        </is>
      </c>
      <c r="B39" s="28" t="inlineStr">
        <is>
          <t>Produccion</t>
        </is>
      </c>
      <c r="C39" s="27" t="inlineStr">
        <is>
          <t>SLES 15 SP1</t>
        </is>
      </c>
      <c r="D39" s="27" t="inlineStr">
        <is>
          <t>4.12.14-197.29-default</t>
        </is>
      </c>
      <c r="E39" s="29" t="inlineStr">
        <is>
          <t>NO</t>
        </is>
      </c>
      <c r="F39" s="29" t="inlineStr">
        <is>
          <t>NO</t>
        </is>
      </c>
      <c r="G39" s="26" t="inlineStr">
        <is>
          <t>Al Día</t>
        </is>
      </c>
      <c r="H39" s="27" t="inlineStr">
        <is>
          <t>SUSE Linux Enterprise (SLES)</t>
        </is>
      </c>
    </row>
    <row r="40">
      <c r="A40" s="23" t="inlineStr">
        <is>
          <t>PROXY-PASS-HA</t>
        </is>
      </c>
      <c r="B40" s="24" t="inlineStr">
        <is>
          <t>Produccion</t>
        </is>
      </c>
      <c r="C40" s="23" t="inlineStr">
        <is>
          <t>SLES 15 SP6</t>
        </is>
      </c>
      <c r="D40" s="23" t="inlineStr">
        <is>
          <t>6.4.0-150600.23.30-default</t>
        </is>
      </c>
      <c r="E40" s="25" t="inlineStr">
        <is>
          <t>NO</t>
        </is>
      </c>
      <c r="F40" s="25" t="inlineStr">
        <is>
          <t>NO</t>
        </is>
      </c>
      <c r="G40" s="26" t="inlineStr">
        <is>
          <t>Al Día</t>
        </is>
      </c>
      <c r="H40" s="23" t="inlineStr">
        <is>
          <t>SUSE Linux Enterprise (SLES)</t>
        </is>
      </c>
    </row>
    <row r="41">
      <c r="A41" s="27" t="inlineStr">
        <is>
          <t>PROXY-PASS-IR</t>
        </is>
      </c>
      <c r="B41" s="28" t="inlineStr">
        <is>
          <t>Produccion</t>
        </is>
      </c>
      <c r="C41" s="27" t="inlineStr">
        <is>
          <t>SLES 15 SP3</t>
        </is>
      </c>
      <c r="D41" s="27" t="inlineStr">
        <is>
          <t>5.3.18-150300.59.49-default</t>
        </is>
      </c>
      <c r="E41" s="29" t="inlineStr">
        <is>
          <t>NO</t>
        </is>
      </c>
      <c r="F41" s="29" t="inlineStr">
        <is>
          <t>NO</t>
        </is>
      </c>
      <c r="G41" s="26" t="inlineStr">
        <is>
          <t>Al Día</t>
        </is>
      </c>
      <c r="H41" s="27" t="inlineStr">
        <is>
          <t>SUSE Linux Enterprise (SLES)</t>
        </is>
      </c>
    </row>
    <row r="42">
      <c r="A42" s="23" t="inlineStr">
        <is>
          <t>PROXYPASS01</t>
        </is>
      </c>
      <c r="B42" s="24" t="inlineStr">
        <is>
          <t>Produccion</t>
        </is>
      </c>
      <c r="C42" s="23" t="inlineStr">
        <is>
          <t>SLES 15 SP6</t>
        </is>
      </c>
      <c r="D42" s="23" t="inlineStr">
        <is>
          <t>6.4.0-150600.23.30-default</t>
        </is>
      </c>
      <c r="E42" s="25" t="inlineStr">
        <is>
          <t>NO</t>
        </is>
      </c>
      <c r="F42" s="25" t="inlineStr">
        <is>
          <t>NO</t>
        </is>
      </c>
      <c r="G42" s="26" t="inlineStr">
        <is>
          <t>Al Día</t>
        </is>
      </c>
      <c r="H42" s="23" t="inlineStr">
        <is>
          <t>SUSE Linux Enterprise (SLES)</t>
        </is>
      </c>
    </row>
    <row r="43">
      <c r="A43" s="27" t="inlineStr">
        <is>
          <t>REDCAPAPP01</t>
        </is>
      </c>
      <c r="B43" s="28" t="inlineStr">
        <is>
          <t>Produccion</t>
        </is>
      </c>
      <c r="C43" s="27" t="inlineStr">
        <is>
          <t>SLES 15 SP5</t>
        </is>
      </c>
      <c r="D43" s="27" t="inlineStr">
        <is>
          <t>5.3.18-150300.59.49-default</t>
        </is>
      </c>
      <c r="E43" s="29" t="inlineStr">
        <is>
          <t>NO</t>
        </is>
      </c>
      <c r="F43" s="29" t="inlineStr">
        <is>
          <t>NO</t>
        </is>
      </c>
      <c r="G43" s="26" t="inlineStr">
        <is>
          <t>Al Día</t>
        </is>
      </c>
      <c r="H43" s="27" t="inlineStr">
        <is>
          <t>SUSE Linux Enterprise (SLES)</t>
        </is>
      </c>
    </row>
    <row r="44">
      <c r="A44" s="23" t="inlineStr">
        <is>
          <t>REDCAPDB01</t>
        </is>
      </c>
      <c r="B44" s="24" t="inlineStr">
        <is>
          <t>Produccion</t>
        </is>
      </c>
      <c r="C44" s="23" t="inlineStr">
        <is>
          <t>SLES 15 SP5</t>
        </is>
      </c>
      <c r="D44" s="23" t="inlineStr">
        <is>
          <t>5.3.18-150300.59.49-default</t>
        </is>
      </c>
      <c r="E44" s="25" t="inlineStr">
        <is>
          <t>NO</t>
        </is>
      </c>
      <c r="F44" s="25" t="inlineStr">
        <is>
          <t>NO</t>
        </is>
      </c>
      <c r="G44" s="26" t="inlineStr">
        <is>
          <t>Al Día</t>
        </is>
      </c>
      <c r="H44" s="23" t="inlineStr">
        <is>
          <t>SUSE Linux Enterprise (SLES)</t>
        </is>
      </c>
    </row>
    <row r="45">
      <c r="A45" s="27" t="inlineStr">
        <is>
          <t>RMAN01</t>
        </is>
      </c>
      <c r="B45" s="28" t="inlineStr">
        <is>
          <t>Produccion</t>
        </is>
      </c>
      <c r="C45" s="27" t="inlineStr">
        <is>
          <t>SLES 15 SP2</t>
        </is>
      </c>
      <c r="D45" s="27" t="inlineStr">
        <is>
          <t>5.3.18-24.96-default</t>
        </is>
      </c>
      <c r="E45" s="29" t="inlineStr">
        <is>
          <t>NO</t>
        </is>
      </c>
      <c r="F45" s="29" t="inlineStr">
        <is>
          <t>NO</t>
        </is>
      </c>
      <c r="G45" s="26" t="inlineStr">
        <is>
          <t>Al Día</t>
        </is>
      </c>
      <c r="H45" s="27" t="inlineStr">
        <is>
          <t>SUSE Linux Enterprise (SLES)</t>
        </is>
      </c>
    </row>
    <row r="46">
      <c r="A46" s="23" t="inlineStr">
        <is>
          <t>RMAN19</t>
        </is>
      </c>
      <c r="B46" s="24" t="inlineStr">
        <is>
          <t>Produccion</t>
        </is>
      </c>
      <c r="C46" s="23" t="inlineStr">
        <is>
          <t>SLES 15 SP3</t>
        </is>
      </c>
      <c r="D46" s="23" t="inlineStr">
        <is>
          <t>5.3.18-150300.59.49-default</t>
        </is>
      </c>
      <c r="E46" s="25" t="inlineStr">
        <is>
          <t>NO</t>
        </is>
      </c>
      <c r="F46" s="25" t="inlineStr">
        <is>
          <t>NO</t>
        </is>
      </c>
      <c r="G46" s="26" t="inlineStr">
        <is>
          <t>Al Día</t>
        </is>
      </c>
      <c r="H46" s="23" t="inlineStr">
        <is>
          <t>SUSE Linux Enterprise (SLES)</t>
        </is>
      </c>
    </row>
    <row r="47">
      <c r="A47" s="27" t="inlineStr">
        <is>
          <t>SAPSPB01</t>
        </is>
      </c>
      <c r="B47" s="28" t="inlineStr">
        <is>
          <t>Produccion</t>
        </is>
      </c>
      <c r="C47" s="27" t="inlineStr">
        <is>
          <t>SLES 15 SP7</t>
        </is>
      </c>
      <c r="D47" s="27" t="inlineStr">
        <is>
          <t>6.4.0-150700.53.40-default</t>
        </is>
      </c>
      <c r="E47" s="29" t="inlineStr">
        <is>
          <t>NO</t>
        </is>
      </c>
      <c r="F47" s="29" t="inlineStr">
        <is>
          <t>NO</t>
        </is>
      </c>
      <c r="G47" s="26" t="inlineStr">
        <is>
          <t>Al Día</t>
        </is>
      </c>
      <c r="H47" s="27" t="inlineStr">
        <is>
          <t>SUSE Linux Enterprise (SLES)</t>
        </is>
      </c>
    </row>
    <row r="48">
      <c r="A48" s="23" t="inlineStr">
        <is>
          <t>SAPSPE</t>
        </is>
      </c>
      <c r="B48" s="24" t="inlineStr">
        <is>
          <t>Produccion</t>
        </is>
      </c>
      <c r="C48" s="23" t="inlineStr">
        <is>
          <t>SLES 15 SP4</t>
        </is>
      </c>
      <c r="D48" s="23" t="inlineStr">
        <is>
          <t>5.14.21-150400.24.100-default</t>
        </is>
      </c>
      <c r="E48" s="25" t="inlineStr">
        <is>
          <t>NO</t>
        </is>
      </c>
      <c r="F48" s="25" t="inlineStr">
        <is>
          <t>NO</t>
        </is>
      </c>
      <c r="G48" s="26" t="inlineStr">
        <is>
          <t>Al Día</t>
        </is>
      </c>
      <c r="H48" s="23" t="inlineStr">
        <is>
          <t>SUSE Linux Enterprise (SLES)</t>
        </is>
      </c>
    </row>
    <row r="49">
      <c r="A49" s="27" t="inlineStr">
        <is>
          <t>SAPSPF01</t>
        </is>
      </c>
      <c r="B49" s="28" t="inlineStr">
        <is>
          <t>Produccion</t>
        </is>
      </c>
      <c r="C49" s="27" t="inlineStr">
        <is>
          <t>SLES 15 SP7</t>
        </is>
      </c>
      <c r="D49" s="27" t="inlineStr">
        <is>
          <t>6.4.0-150700.53.6-default</t>
        </is>
      </c>
      <c r="E49" s="29" t="inlineStr">
        <is>
          <t>NO</t>
        </is>
      </c>
      <c r="F49" s="29" t="inlineStr">
        <is>
          <t>NO</t>
        </is>
      </c>
      <c r="G49" s="26" t="inlineStr">
        <is>
          <t>Al Día</t>
        </is>
      </c>
      <c r="H49" s="27" t="inlineStr">
        <is>
          <t>SUSE Linux Enterprise (SLES)</t>
        </is>
      </c>
    </row>
    <row r="50">
      <c r="A50" s="23" t="inlineStr">
        <is>
          <t>SAPSPP01</t>
        </is>
      </c>
      <c r="B50" s="24" t="inlineStr">
        <is>
          <t>Produccion</t>
        </is>
      </c>
      <c r="C50" s="23" t="inlineStr">
        <is>
          <t>SLES 15 SP4</t>
        </is>
      </c>
      <c r="D50" s="23" t="inlineStr">
        <is>
          <t>5.14.21-150400.24.38-default</t>
        </is>
      </c>
      <c r="E50" s="25" t="inlineStr">
        <is>
          <t>NO</t>
        </is>
      </c>
      <c r="F50" s="25" t="inlineStr">
        <is>
          <t>NO</t>
        </is>
      </c>
      <c r="G50" s="26" t="inlineStr">
        <is>
          <t>Al Día</t>
        </is>
      </c>
      <c r="H50" s="23" t="inlineStr">
        <is>
          <t>SUSE Linux Enterprise (SLES)</t>
        </is>
      </c>
    </row>
    <row r="51">
      <c r="A51" s="27" t="inlineStr">
        <is>
          <t>SAPSPU01</t>
        </is>
      </c>
      <c r="B51" s="28" t="inlineStr">
        <is>
          <t>Produccion</t>
        </is>
      </c>
      <c r="C51" s="27" t="inlineStr">
        <is>
          <t>SLES 15 SP7</t>
        </is>
      </c>
      <c r="D51" s="27" t="inlineStr">
        <is>
          <t>6.4.0-150700.53.11-default</t>
        </is>
      </c>
      <c r="E51" s="29" t="inlineStr">
        <is>
          <t>NO</t>
        </is>
      </c>
      <c r="F51" s="29" t="inlineStr">
        <is>
          <t>NO</t>
        </is>
      </c>
      <c r="G51" s="26" t="inlineStr">
        <is>
          <t>Al Día</t>
        </is>
      </c>
      <c r="H51" s="27" t="inlineStr">
        <is>
          <t>SUSE Linux Enterprise (SLES)</t>
        </is>
      </c>
    </row>
    <row r="52">
      <c r="A52" s="23" t="inlineStr">
        <is>
          <t>SESCLI01</t>
        </is>
      </c>
      <c r="B52" s="24" t="inlineStr">
        <is>
          <t>Produccion</t>
        </is>
      </c>
      <c r="C52" s="23" t="inlineStr">
        <is>
          <t>SLES 15 SP5</t>
        </is>
      </c>
      <c r="D52" s="23" t="inlineStr">
        <is>
          <t>5.14.21-150500.55.59-default</t>
        </is>
      </c>
      <c r="E52" s="25" t="inlineStr">
        <is>
          <t>NO</t>
        </is>
      </c>
      <c r="F52" s="25" t="inlineStr">
        <is>
          <t>NO</t>
        </is>
      </c>
      <c r="G52" s="26" t="inlineStr">
        <is>
          <t>Al Día</t>
        </is>
      </c>
      <c r="H52" s="23" t="inlineStr">
        <is>
          <t>SUSE Linux Enterprise (SLES)</t>
        </is>
      </c>
    </row>
    <row r="53">
      <c r="A53" s="27" t="inlineStr">
        <is>
          <t>SETAPP01</t>
        </is>
      </c>
      <c r="B53" s="28" t="inlineStr">
        <is>
          <t>Produccion</t>
        </is>
      </c>
      <c r="C53" s="27" t="inlineStr">
        <is>
          <t>SLES 15 SP4</t>
        </is>
      </c>
      <c r="D53" s="27" t="inlineStr">
        <is>
          <t>5.14.21-150400.24.38-default</t>
        </is>
      </c>
      <c r="E53" s="31" t="inlineStr">
        <is>
          <t>SI</t>
        </is>
      </c>
      <c r="F53" s="29" t="inlineStr">
        <is>
          <t>NO</t>
        </is>
      </c>
      <c r="G53" s="32" t="inlineStr">
        <is>
          <t>Parche Disponible</t>
        </is>
      </c>
      <c r="H53" s="27" t="inlineStr">
        <is>
          <t>SUSE Linux Enterprise (SLES)</t>
        </is>
      </c>
    </row>
    <row r="54">
      <c r="A54" s="23" t="inlineStr">
        <is>
          <t>SETDB01</t>
        </is>
      </c>
      <c r="B54" s="24" t="inlineStr">
        <is>
          <t>Produccion</t>
        </is>
      </c>
      <c r="C54" s="23" t="inlineStr">
        <is>
          <t>SLES 15 SP3</t>
        </is>
      </c>
      <c r="D54" s="23" t="inlineStr">
        <is>
          <t>5.3.18-150300.59.49-default</t>
        </is>
      </c>
      <c r="E54" s="25" t="inlineStr">
        <is>
          <t>NO</t>
        </is>
      </c>
      <c r="F54" s="25" t="inlineStr">
        <is>
          <t>NO</t>
        </is>
      </c>
      <c r="G54" s="26" t="inlineStr">
        <is>
          <t>Al Día</t>
        </is>
      </c>
      <c r="H54" s="23" t="inlineStr">
        <is>
          <t>SUSE Linux Enterprise (SLES)</t>
        </is>
      </c>
    </row>
    <row r="55">
      <c r="A55" s="27" t="inlineStr">
        <is>
          <t>SPBDB</t>
        </is>
      </c>
      <c r="B55" s="28" t="inlineStr">
        <is>
          <t>Produccion</t>
        </is>
      </c>
      <c r="C55" s="27" t="inlineStr">
        <is>
          <t>SLES 15 SP7</t>
        </is>
      </c>
      <c r="D55" s="27" t="inlineStr">
        <is>
          <t>6.4.0-150700.53.40-default</t>
        </is>
      </c>
      <c r="E55" s="29" t="inlineStr">
        <is>
          <t>NO</t>
        </is>
      </c>
      <c r="F55" s="29" t="inlineStr">
        <is>
          <t>NO</t>
        </is>
      </c>
      <c r="G55" s="26" t="inlineStr">
        <is>
          <t>Al Día</t>
        </is>
      </c>
      <c r="H55" s="27" t="inlineStr">
        <is>
          <t>SUSE Linux Enterprise (SLES)</t>
        </is>
      </c>
    </row>
    <row r="56">
      <c r="A56" s="23" t="inlineStr">
        <is>
          <t>SPEAS01</t>
        </is>
      </c>
      <c r="B56" s="24" t="inlineStr">
        <is>
          <t>Produccion</t>
        </is>
      </c>
      <c r="C56" s="23" t="inlineStr">
        <is>
          <t>SLES 15 SP4</t>
        </is>
      </c>
      <c r="D56" s="23" t="inlineStr">
        <is>
          <t>5.14.21-150400.24.100-default</t>
        </is>
      </c>
      <c r="E56" s="25" t="inlineStr">
        <is>
          <t>NO</t>
        </is>
      </c>
      <c r="F56" s="25" t="inlineStr">
        <is>
          <t>NO</t>
        </is>
      </c>
      <c r="G56" s="26" t="inlineStr">
        <is>
          <t>Al Día</t>
        </is>
      </c>
      <c r="H56" s="23" t="inlineStr">
        <is>
          <t>SUSE Linux Enterprise (SLES)</t>
        </is>
      </c>
    </row>
    <row r="57">
      <c r="A57" s="27" t="inlineStr">
        <is>
          <t>SPEAS02</t>
        </is>
      </c>
      <c r="B57" s="28" t="inlineStr">
        <is>
          <t>Produccion</t>
        </is>
      </c>
      <c r="C57" s="27" t="inlineStr">
        <is>
          <t>SLES 15 SP4</t>
        </is>
      </c>
      <c r="D57" s="27" t="inlineStr">
        <is>
          <t>5.14.21-150400.24.100-default</t>
        </is>
      </c>
      <c r="E57" s="29" t="inlineStr">
        <is>
          <t>NO</t>
        </is>
      </c>
      <c r="F57" s="29" t="inlineStr">
        <is>
          <t>NO</t>
        </is>
      </c>
      <c r="G57" s="26" t="inlineStr">
        <is>
          <t>Al Día</t>
        </is>
      </c>
      <c r="H57" s="27" t="inlineStr">
        <is>
          <t>SUSE Linux Enterprise (SLES)</t>
        </is>
      </c>
    </row>
    <row r="58">
      <c r="A58" s="23" t="inlineStr">
        <is>
          <t>SPEAS03</t>
        </is>
      </c>
      <c r="B58" s="24" t="inlineStr">
        <is>
          <t>Produccion</t>
        </is>
      </c>
      <c r="C58" s="23" t="inlineStr">
        <is>
          <t>SLES 15 SP4</t>
        </is>
      </c>
      <c r="D58" s="23" t="inlineStr">
        <is>
          <t>5.14.21-150400.24.100-default</t>
        </is>
      </c>
      <c r="E58" s="25" t="inlineStr">
        <is>
          <t>NO</t>
        </is>
      </c>
      <c r="F58" s="25" t="inlineStr">
        <is>
          <t>NO</t>
        </is>
      </c>
      <c r="G58" s="26" t="inlineStr">
        <is>
          <t>Al Día</t>
        </is>
      </c>
      <c r="H58" s="23" t="inlineStr">
        <is>
          <t>SUSE Linux Enterprise (SLES)</t>
        </is>
      </c>
    </row>
    <row r="59">
      <c r="A59" s="27" t="inlineStr">
        <is>
          <t>SPEAS04</t>
        </is>
      </c>
      <c r="B59" s="28" t="inlineStr">
        <is>
          <t>Produccion</t>
        </is>
      </c>
      <c r="C59" s="27" t="inlineStr">
        <is>
          <t>SLES 15 SP4</t>
        </is>
      </c>
      <c r="D59" s="27" t="inlineStr">
        <is>
          <t>5.14.21-150400.24.100-default</t>
        </is>
      </c>
      <c r="E59" s="29" t="inlineStr">
        <is>
          <t>NO</t>
        </is>
      </c>
      <c r="F59" s="29" t="inlineStr">
        <is>
          <t>NO</t>
        </is>
      </c>
      <c r="G59" s="26" t="inlineStr">
        <is>
          <t>Al Día</t>
        </is>
      </c>
      <c r="H59" s="27" t="inlineStr">
        <is>
          <t>SUSE Linux Enterprise (SLES)</t>
        </is>
      </c>
    </row>
    <row r="60">
      <c r="A60" s="23" t="inlineStr">
        <is>
          <t>SPEAS05</t>
        </is>
      </c>
      <c r="B60" s="24" t="inlineStr">
        <is>
          <t>Produccion</t>
        </is>
      </c>
      <c r="C60" s="23" t="inlineStr">
        <is>
          <t>SLES 15 SP4</t>
        </is>
      </c>
      <c r="D60" s="23" t="inlineStr">
        <is>
          <t>5.14.21-150400.24.100-default</t>
        </is>
      </c>
      <c r="E60" s="25" t="inlineStr">
        <is>
          <t>NO</t>
        </is>
      </c>
      <c r="F60" s="25" t="inlineStr">
        <is>
          <t>NO</t>
        </is>
      </c>
      <c r="G60" s="26" t="inlineStr">
        <is>
          <t>Al Día</t>
        </is>
      </c>
      <c r="H60" s="23" t="inlineStr">
        <is>
          <t>SUSE Linux Enterprise (SLES)</t>
        </is>
      </c>
    </row>
    <row r="61">
      <c r="A61" s="27" t="inlineStr">
        <is>
          <t>SPEAS06</t>
        </is>
      </c>
      <c r="B61" s="28" t="inlineStr">
        <is>
          <t>Produccion</t>
        </is>
      </c>
      <c r="C61" s="27" t="inlineStr">
        <is>
          <t>SLES 15 SP4</t>
        </is>
      </c>
      <c r="D61" s="27" t="inlineStr">
        <is>
          <t>5.14.21-150400.24.100-default</t>
        </is>
      </c>
      <c r="E61" s="29" t="inlineStr">
        <is>
          <t>NO</t>
        </is>
      </c>
      <c r="F61" s="29" t="inlineStr">
        <is>
          <t>NO</t>
        </is>
      </c>
      <c r="G61" s="26" t="inlineStr">
        <is>
          <t>Al Día</t>
        </is>
      </c>
      <c r="H61" s="27" t="inlineStr">
        <is>
          <t>SUSE Linux Enterprise (SLES)</t>
        </is>
      </c>
    </row>
    <row r="62">
      <c r="A62" s="23" t="inlineStr">
        <is>
          <t>SPEDB</t>
        </is>
      </c>
      <c r="B62" s="24" t="inlineStr">
        <is>
          <t>Produccion</t>
        </is>
      </c>
      <c r="C62" s="23" t="inlineStr">
        <is>
          <t>SLES 15 SP2</t>
        </is>
      </c>
      <c r="D62" s="23" t="inlineStr">
        <is>
          <t>5.3.18-24.46-default</t>
        </is>
      </c>
      <c r="E62" s="25" t="inlineStr">
        <is>
          <t>NO</t>
        </is>
      </c>
      <c r="F62" s="25" t="inlineStr">
        <is>
          <t>NO</t>
        </is>
      </c>
      <c r="G62" s="26" t="inlineStr">
        <is>
          <t>Al Día</t>
        </is>
      </c>
      <c r="H62" s="23" t="inlineStr">
        <is>
          <t>SUSE Linux Enterprise (SLES)</t>
        </is>
      </c>
    </row>
    <row r="63">
      <c r="A63" s="27" t="inlineStr">
        <is>
          <t>SPFDB</t>
        </is>
      </c>
      <c r="B63" s="28" t="inlineStr">
        <is>
          <t>Produccion</t>
        </is>
      </c>
      <c r="C63" s="27" t="inlineStr">
        <is>
          <t>SLES 15 SP7</t>
        </is>
      </c>
      <c r="D63" s="27" t="inlineStr">
        <is>
          <t>6.4.0-150700.53.6-default</t>
        </is>
      </c>
      <c r="E63" s="29" t="inlineStr">
        <is>
          <t>NO</t>
        </is>
      </c>
      <c r="F63" s="29" t="inlineStr">
        <is>
          <t>NO</t>
        </is>
      </c>
      <c r="G63" s="26" t="inlineStr">
        <is>
          <t>Al Día</t>
        </is>
      </c>
      <c r="H63" s="27" t="inlineStr">
        <is>
          <t>SUSE Linux Enterprise (SLES)</t>
        </is>
      </c>
    </row>
    <row r="64">
      <c r="A64" s="23" t="inlineStr">
        <is>
          <t>SPPDB</t>
        </is>
      </c>
      <c r="B64" s="24" t="inlineStr">
        <is>
          <t>Produccion</t>
        </is>
      </c>
      <c r="C64" s="23" t="inlineStr">
        <is>
          <t>SLES 15 SP4</t>
        </is>
      </c>
      <c r="D64" s="23" t="inlineStr">
        <is>
          <t>5.14.21-150400.24.38-default</t>
        </is>
      </c>
      <c r="E64" s="25" t="inlineStr">
        <is>
          <t>NO</t>
        </is>
      </c>
      <c r="F64" s="25" t="inlineStr">
        <is>
          <t>NO</t>
        </is>
      </c>
      <c r="G64" s="26" t="inlineStr">
        <is>
          <t>Al Día</t>
        </is>
      </c>
      <c r="H64" s="23" t="inlineStr">
        <is>
          <t>SUSE Linux Enterprise (SLES)</t>
        </is>
      </c>
    </row>
    <row r="65">
      <c r="A65" s="27" t="inlineStr">
        <is>
          <t>SPUDB</t>
        </is>
      </c>
      <c r="B65" s="28" t="inlineStr">
        <is>
          <t>Produccion</t>
        </is>
      </c>
      <c r="C65" s="27" t="inlineStr">
        <is>
          <t>SLES 15 SP7</t>
        </is>
      </c>
      <c r="D65" s="27" t="inlineStr">
        <is>
          <t>6.4.0-150700.53.11-default</t>
        </is>
      </c>
      <c r="E65" s="29" t="inlineStr">
        <is>
          <t>NO</t>
        </is>
      </c>
      <c r="F65" s="29" t="inlineStr">
        <is>
          <t>NO</t>
        </is>
      </c>
      <c r="G65" s="26" t="inlineStr">
        <is>
          <t>Al Día</t>
        </is>
      </c>
      <c r="H65" s="27" t="inlineStr">
        <is>
          <t>SUSE Linux Enterprise (SLES)</t>
        </is>
      </c>
    </row>
    <row r="66">
      <c r="A66" s="23" t="inlineStr">
        <is>
          <t>SRV-DB-STORAGE-PIFS</t>
        </is>
      </c>
      <c r="B66" s="24" t="inlineStr">
        <is>
          <t>Produccion</t>
        </is>
      </c>
      <c r="C66" s="23" t="inlineStr">
        <is>
          <t>SLES 15 SP5</t>
        </is>
      </c>
      <c r="D66" s="23" t="inlineStr">
        <is>
          <t>5.14.21-150500.55.73-default</t>
        </is>
      </c>
      <c r="E66" s="25" t="inlineStr">
        <is>
          <t>NO</t>
        </is>
      </c>
      <c r="F66" s="25" t="inlineStr">
        <is>
          <t>NO</t>
        </is>
      </c>
      <c r="G66" s="26" t="inlineStr">
        <is>
          <t>Al Día</t>
        </is>
      </c>
      <c r="H66" s="23" t="inlineStr">
        <is>
          <t>SUSE Linux Enterprise (SLES)</t>
        </is>
      </c>
    </row>
    <row r="67">
      <c r="A67" s="27" t="inlineStr">
        <is>
          <t>SRV-WEB-API-PIFS</t>
        </is>
      </c>
      <c r="B67" s="28" t="inlineStr">
        <is>
          <t>Produccion</t>
        </is>
      </c>
      <c r="C67" s="27" t="inlineStr">
        <is>
          <t>SLES 15 SP5</t>
        </is>
      </c>
      <c r="D67" s="27" t="inlineStr">
        <is>
          <t>5.14.21-150500.55.73-default</t>
        </is>
      </c>
      <c r="E67" s="29" t="inlineStr">
        <is>
          <t>NO</t>
        </is>
      </c>
      <c r="F67" s="29" t="inlineStr">
        <is>
          <t>NO</t>
        </is>
      </c>
      <c r="G67" s="26" t="inlineStr">
        <is>
          <t>Al Día</t>
        </is>
      </c>
      <c r="H67" s="27" t="inlineStr">
        <is>
          <t>SUSE Linux Enterprise (SLES)</t>
        </is>
      </c>
    </row>
    <row r="68">
      <c r="A68" s="23" t="inlineStr">
        <is>
          <t>SUSEMANAGER01</t>
        </is>
      </c>
      <c r="B68" s="24" t="inlineStr">
        <is>
          <t>Produccion</t>
        </is>
      </c>
      <c r="C68" s="23" t="inlineStr">
        <is>
          <t>SLES 15 SP4</t>
        </is>
      </c>
      <c r="D68" s="23" t="inlineStr">
        <is>
          <t>5.14.21-150400.24.170-default</t>
        </is>
      </c>
      <c r="E68" s="25" t="inlineStr">
        <is>
          <t>NO</t>
        </is>
      </c>
      <c r="F68" s="25" t="inlineStr">
        <is>
          <t>NO</t>
        </is>
      </c>
      <c r="G68" s="26" t="inlineStr">
        <is>
          <t>Al Día</t>
        </is>
      </c>
      <c r="H68" s="23" t="inlineStr">
        <is>
          <t>SUSE Linux Enterprise (SLES)</t>
        </is>
      </c>
    </row>
    <row r="69">
      <c r="A69" s="27" t="inlineStr">
        <is>
          <t>SUSEMANAGER02</t>
        </is>
      </c>
      <c r="B69" s="28" t="inlineStr">
        <is>
          <t>Produccion</t>
        </is>
      </c>
      <c r="C69" s="27" t="inlineStr">
        <is>
          <t>SLES 15 SP7</t>
        </is>
      </c>
      <c r="D69" s="27" t="inlineStr">
        <is>
          <t>6.4.0-150700.53.66-default</t>
        </is>
      </c>
      <c r="E69" s="29" t="inlineStr">
        <is>
          <t>NO</t>
        </is>
      </c>
      <c r="F69" s="29" t="inlineStr">
        <is>
          <t>NO</t>
        </is>
      </c>
      <c r="G69" s="26" t="inlineStr">
        <is>
          <t>Al Día</t>
        </is>
      </c>
      <c r="H69" s="27" t="inlineStr">
        <is>
          <t>SUSE Linux Enterprise (SLES)</t>
        </is>
      </c>
    </row>
    <row r="70">
      <c r="A70" s="23" t="inlineStr">
        <is>
          <t>SYCAI01</t>
        </is>
      </c>
      <c r="B70" s="24" t="inlineStr">
        <is>
          <t>Produccion</t>
        </is>
      </c>
      <c r="C70" s="23" t="inlineStr">
        <is>
          <t>SLES 15 SP6</t>
        </is>
      </c>
      <c r="D70" s="23" t="inlineStr">
        <is>
          <t>6.4.0-150600.23.30-default</t>
        </is>
      </c>
      <c r="E70" s="31" t="inlineStr">
        <is>
          <t>SI</t>
        </is>
      </c>
      <c r="F70" s="25" t="inlineStr">
        <is>
          <t>NO</t>
        </is>
      </c>
      <c r="G70" s="32" t="inlineStr">
        <is>
          <t>Parche Disponible</t>
        </is>
      </c>
      <c r="H70" s="23" t="inlineStr">
        <is>
          <t>SUSE Linux Enterprise (SLES)</t>
        </is>
      </c>
    </row>
    <row r="71">
      <c r="A71" s="27" t="inlineStr">
        <is>
          <t>Suse-SSB1</t>
        </is>
      </c>
      <c r="B71" s="28" t="inlineStr">
        <is>
          <t>Produccion</t>
        </is>
      </c>
      <c r="C71" s="27" t="inlineStr">
        <is>
          <t>SLES 15 SP7</t>
        </is>
      </c>
      <c r="D71" s="27" t="inlineStr">
        <is>
          <t>6.4.0-150700.53.19-default</t>
        </is>
      </c>
      <c r="E71" s="31" t="inlineStr">
        <is>
          <t>SI</t>
        </is>
      </c>
      <c r="F71" s="29" t="inlineStr">
        <is>
          <t>NO</t>
        </is>
      </c>
      <c r="G71" s="32" t="inlineStr">
        <is>
          <t>Parche Disponible</t>
        </is>
      </c>
      <c r="H71" s="27" t="inlineStr">
        <is>
          <t>SUSE Linux Enterprise (SLES)</t>
        </is>
      </c>
    </row>
    <row r="72">
      <c r="A72" s="23" t="inlineStr">
        <is>
          <t>WDISP01PRO</t>
        </is>
      </c>
      <c r="B72" s="24" t="inlineStr">
        <is>
          <t>Produccion</t>
        </is>
      </c>
      <c r="C72" s="23" t="inlineStr">
        <is>
          <t>SLES 15 SP2</t>
        </is>
      </c>
      <c r="D72" s="23" t="inlineStr">
        <is>
          <t>5.3.18-24.83-default</t>
        </is>
      </c>
      <c r="E72" s="25" t="inlineStr">
        <is>
          <t>NO</t>
        </is>
      </c>
      <c r="F72" s="25" t="inlineStr">
        <is>
          <t>NO</t>
        </is>
      </c>
      <c r="G72" s="26" t="inlineStr">
        <is>
          <t>Al Día</t>
        </is>
      </c>
      <c r="H72" s="23" t="inlineStr">
        <is>
          <t>SUSE Linux Enterprise (SLES)</t>
        </is>
      </c>
    </row>
    <row r="73">
      <c r="A73" s="27" t="inlineStr">
        <is>
          <t>WEBIR01</t>
        </is>
      </c>
      <c r="B73" s="28" t="inlineStr">
        <is>
          <t>Produccion</t>
        </is>
      </c>
      <c r="C73" s="27" t="inlineStr">
        <is>
          <t>SLES 15 SP3</t>
        </is>
      </c>
      <c r="D73" s="27" t="inlineStr">
        <is>
          <t>5.3.18-150300.59.98-default</t>
        </is>
      </c>
      <c r="E73" s="29" t="inlineStr">
        <is>
          <t>NO</t>
        </is>
      </c>
      <c r="F73" s="29" t="inlineStr">
        <is>
          <t>NO</t>
        </is>
      </c>
      <c r="G73" s="26" t="inlineStr">
        <is>
          <t>Al Día</t>
        </is>
      </c>
      <c r="H73" s="27" t="inlineStr">
        <is>
          <t>SUSE Linux Enterprise (SLES)</t>
        </is>
      </c>
    </row>
    <row r="74">
      <c r="A74" s="23" t="inlineStr">
        <is>
          <t>WEBIR02</t>
        </is>
      </c>
      <c r="B74" s="24" t="inlineStr">
        <is>
          <t>Produccion</t>
        </is>
      </c>
      <c r="C74" s="23" t="inlineStr">
        <is>
          <t>SLES 15 SP3</t>
        </is>
      </c>
      <c r="D74" s="23" t="inlineStr">
        <is>
          <t>5.3.18-150300.59.98-default</t>
        </is>
      </c>
      <c r="E74" s="25" t="inlineStr">
        <is>
          <t>NO</t>
        </is>
      </c>
      <c r="F74" s="25" t="inlineStr">
        <is>
          <t>NO</t>
        </is>
      </c>
      <c r="G74" s="26" t="inlineStr">
        <is>
          <t>Al Día</t>
        </is>
      </c>
      <c r="H74" s="23" t="inlineStr">
        <is>
          <t>SUSE Linux Enterprise (SLES)</t>
        </is>
      </c>
    </row>
    <row r="75">
      <c r="A75" s="27" t="inlineStr">
        <is>
          <t>WEBPUB01</t>
        </is>
      </c>
      <c r="B75" s="28" t="inlineStr">
        <is>
          <t>Produccion</t>
        </is>
      </c>
      <c r="C75" s="27" t="inlineStr">
        <is>
          <t>SLES 15 SP2</t>
        </is>
      </c>
      <c r="D75" s="27" t="inlineStr">
        <is>
          <t>5.3.18-24.96-default</t>
        </is>
      </c>
      <c r="E75" s="29" t="inlineStr">
        <is>
          <t>NO</t>
        </is>
      </c>
      <c r="F75" s="29" t="inlineStr">
        <is>
          <t>NO</t>
        </is>
      </c>
      <c r="G75" s="26" t="inlineStr">
        <is>
          <t>Al Día</t>
        </is>
      </c>
      <c r="H75" s="27" t="inlineStr">
        <is>
          <t>SUSE Linux Enterprise (SLES)</t>
        </is>
      </c>
    </row>
    <row r="76">
      <c r="A76" s="23" t="inlineStr">
        <is>
          <t>WEBPUB02</t>
        </is>
      </c>
      <c r="B76" s="24" t="inlineStr">
        <is>
          <t>Produccion</t>
        </is>
      </c>
      <c r="C76" s="23" t="inlineStr">
        <is>
          <t>SLES 15 SP2</t>
        </is>
      </c>
      <c r="D76" s="23" t="inlineStr">
        <is>
          <t>5.3.18-24.96-default</t>
        </is>
      </c>
      <c r="E76" s="25" t="inlineStr">
        <is>
          <t>NO</t>
        </is>
      </c>
      <c r="F76" s="25" t="inlineStr">
        <is>
          <t>NO</t>
        </is>
      </c>
      <c r="G76" s="26" t="inlineStr">
        <is>
          <t>Al Día</t>
        </is>
      </c>
      <c r="H76" s="23" t="inlineStr">
        <is>
          <t>SUSE Linux Enterprise (SLES)</t>
        </is>
      </c>
    </row>
    <row r="77">
      <c r="A77" s="27" t="inlineStr">
        <is>
          <t>WEBPUB03</t>
        </is>
      </c>
      <c r="B77" s="28" t="inlineStr">
        <is>
          <t>Produccion</t>
        </is>
      </c>
      <c r="C77" s="27" t="inlineStr">
        <is>
          <t>SLES 15 SP2</t>
        </is>
      </c>
      <c r="D77" s="27" t="inlineStr">
        <is>
          <t>5.3.18-24.83-default</t>
        </is>
      </c>
      <c r="E77" s="29" t="inlineStr">
        <is>
          <t>NO</t>
        </is>
      </c>
      <c r="F77" s="29" t="inlineStr">
        <is>
          <t>NO</t>
        </is>
      </c>
      <c r="G77" s="26" t="inlineStr">
        <is>
          <t>Al Día</t>
        </is>
      </c>
      <c r="H77" s="27" t="inlineStr">
        <is>
          <t>SUSE Linux Enterprise (SLES)</t>
        </is>
      </c>
    </row>
    <row r="78">
      <c r="A78" s="23" t="inlineStr">
        <is>
          <t>WEBPUB04</t>
        </is>
      </c>
      <c r="B78" s="24" t="inlineStr">
        <is>
          <t>Produccion</t>
        </is>
      </c>
      <c r="C78" s="23" t="inlineStr">
        <is>
          <t>SLES 15 SP5</t>
        </is>
      </c>
      <c r="D78" s="23" t="inlineStr">
        <is>
          <t>5.14.21-150500.55.44-default</t>
        </is>
      </c>
      <c r="E78" s="25" t="inlineStr">
        <is>
          <t>NO</t>
        </is>
      </c>
      <c r="F78" s="25" t="inlineStr">
        <is>
          <t>NO</t>
        </is>
      </c>
      <c r="G78" s="26" t="inlineStr">
        <is>
          <t>Al Día</t>
        </is>
      </c>
      <c r="H78" s="23" t="inlineStr">
        <is>
          <t>SUSE Linux Enterprise (SLES)</t>
        </is>
      </c>
    </row>
    <row r="79">
      <c r="A79" s="27" t="inlineStr">
        <is>
          <t>WEBPUB05</t>
        </is>
      </c>
      <c r="B79" s="28" t="inlineStr">
        <is>
          <t>Produccion</t>
        </is>
      </c>
      <c r="C79" s="27" t="inlineStr">
        <is>
          <t>SLES 15 SP7</t>
        </is>
      </c>
      <c r="D79" s="27" t="inlineStr">
        <is>
          <t>6.4.0-150700.53.19-default</t>
        </is>
      </c>
      <c r="E79" s="31" t="inlineStr">
        <is>
          <t>SI</t>
        </is>
      </c>
      <c r="F79" s="29" t="inlineStr">
        <is>
          <t>NO</t>
        </is>
      </c>
      <c r="G79" s="32" t="inlineStr">
        <is>
          <t>Parche Disponible</t>
        </is>
      </c>
      <c r="H79" s="27" t="inlineStr">
        <is>
          <t>SUSE Linux Enterprise (SLES)</t>
        </is>
      </c>
    </row>
    <row r="80">
      <c r="A80" s="23" t="inlineStr">
        <is>
          <t>bastion02</t>
        </is>
      </c>
      <c r="B80" s="24" t="inlineStr">
        <is>
          <t>Produccion</t>
        </is>
      </c>
      <c r="C80" s="23" t="inlineStr">
        <is>
          <t>SLES 15 SP4</t>
        </is>
      </c>
      <c r="D80" s="23" t="inlineStr">
        <is>
          <t>5.14.21-150400.24.88-default</t>
        </is>
      </c>
      <c r="E80" s="25" t="inlineStr">
        <is>
          <t>NO</t>
        </is>
      </c>
      <c r="F80" s="25" t="inlineStr">
        <is>
          <t>NO</t>
        </is>
      </c>
      <c r="G80" s="26" t="inlineStr">
        <is>
          <t>Al Día</t>
        </is>
      </c>
      <c r="H80" s="23" t="inlineStr">
        <is>
          <t>SUSE Linux Enterprise (SLES)</t>
        </is>
      </c>
    </row>
    <row r="81">
      <c r="A81" s="27" t="inlineStr">
        <is>
          <t>bastion03</t>
        </is>
      </c>
      <c r="B81" s="28" t="inlineStr">
        <is>
          <t>Produccion</t>
        </is>
      </c>
      <c r="C81" s="27" t="inlineStr">
        <is>
          <t>SLES 15 SP4</t>
        </is>
      </c>
      <c r="D81" s="27" t="inlineStr">
        <is>
          <t>5.14.21-150400.24.88-default</t>
        </is>
      </c>
      <c r="E81" s="29" t="inlineStr">
        <is>
          <t>NO</t>
        </is>
      </c>
      <c r="F81" s="29" t="inlineStr">
        <is>
          <t>NO</t>
        </is>
      </c>
      <c r="G81" s="26" t="inlineStr">
        <is>
          <t>Al Día</t>
        </is>
      </c>
      <c r="H81" s="27" t="inlineStr">
        <is>
          <t>SUSE Linux Enterprise (SLES)</t>
        </is>
      </c>
    </row>
    <row r="82">
      <c r="A82" s="23" t="inlineStr">
        <is>
          <t>exhsp-proxy-pass-2026</t>
        </is>
      </c>
      <c r="B82" s="24" t="inlineStr">
        <is>
          <t>Produccion</t>
        </is>
      </c>
      <c r="C82" s="23" t="inlineStr">
        <is>
          <t>SLES 15 SP7</t>
        </is>
      </c>
      <c r="D82" s="23" t="inlineStr">
        <is>
          <t>6.4.0-150700.53.40-default</t>
        </is>
      </c>
      <c r="E82" s="31" t="inlineStr">
        <is>
          <t>SI</t>
        </is>
      </c>
      <c r="F82" s="25" t="inlineStr">
        <is>
          <t>NO</t>
        </is>
      </c>
      <c r="G82" s="32" t="inlineStr">
        <is>
          <t>Parche Disponible</t>
        </is>
      </c>
      <c r="H82" s="23" t="inlineStr">
        <is>
          <t>SUSE Linux Enterprise (SLES)</t>
        </is>
      </c>
    </row>
    <row r="83">
      <c r="A83" s="27" t="inlineStr">
        <is>
          <t>exhsp-proxy-pass-int-2026</t>
        </is>
      </c>
      <c r="B83" s="28" t="inlineStr">
        <is>
          <t>Produccion</t>
        </is>
      </c>
      <c r="C83" s="27" t="inlineStr">
        <is>
          <t>SLES 15 SP7</t>
        </is>
      </c>
      <c r="D83" s="27" t="inlineStr">
        <is>
          <t>6.4.0-150700.53.40-default</t>
        </is>
      </c>
      <c r="E83" s="31" t="inlineStr">
        <is>
          <t>SI</t>
        </is>
      </c>
      <c r="F83" s="29" t="inlineStr">
        <is>
          <t>NO</t>
        </is>
      </c>
      <c r="G83" s="32" t="inlineStr">
        <is>
          <t>Parche Disponible</t>
        </is>
      </c>
      <c r="H83" s="27" t="inlineStr">
        <is>
          <t>SUSE Linux Enterprise (SLES)</t>
        </is>
      </c>
    </row>
    <row r="84">
      <c r="A84" s="23" t="inlineStr">
        <is>
          <t>sapcconnect01</t>
        </is>
      </c>
      <c r="B84" s="24" t="inlineStr">
        <is>
          <t>Produccion</t>
        </is>
      </c>
      <c r="C84" s="23" t="inlineStr">
        <is>
          <t>SLES 15 SP4</t>
        </is>
      </c>
      <c r="D84" s="23" t="inlineStr">
        <is>
          <t>5.14.21-150400.24.38-default</t>
        </is>
      </c>
      <c r="E84" s="25" t="inlineStr">
        <is>
          <t>NO</t>
        </is>
      </c>
      <c r="F84" s="25" t="inlineStr">
        <is>
          <t>NO</t>
        </is>
      </c>
      <c r="G84" s="26" t="inlineStr">
        <is>
          <t>Al Día</t>
        </is>
      </c>
      <c r="H84" s="23" t="inlineStr">
        <is>
          <t>SUSE Linux Enterprise (SLES)</t>
        </is>
      </c>
    </row>
    <row r="85">
      <c r="A85" s="27" t="inlineStr">
        <is>
          <t>suse15sp7</t>
        </is>
      </c>
      <c r="B85" s="28" t="inlineStr">
        <is>
          <t>Produccion</t>
        </is>
      </c>
      <c r="C85" s="27" t="inlineStr">
        <is>
          <t>SLES 15 SP7</t>
        </is>
      </c>
      <c r="D85" s="27" t="inlineStr">
        <is>
          <t>6.4.0-150700.53.19-default</t>
        </is>
      </c>
      <c r="E85" s="31" t="inlineStr">
        <is>
          <t>SI</t>
        </is>
      </c>
      <c r="F85" s="29" t="inlineStr">
        <is>
          <t>NO</t>
        </is>
      </c>
      <c r="G85" s="32" t="inlineStr">
        <is>
          <t>Parche Disponible</t>
        </is>
      </c>
      <c r="H85" s="27" t="inlineStr">
        <is>
          <t>SUSE Linux Enterprise (SLES)</t>
        </is>
      </c>
    </row>
    <row r="86">
      <c r="A86" s="23" t="inlineStr">
        <is>
          <t>zabbix01</t>
        </is>
      </c>
      <c r="B86" s="24" t="inlineStr">
        <is>
          <t>Produccion</t>
        </is>
      </c>
      <c r="C86" s="23" t="inlineStr">
        <is>
          <t>SLES 15 SP4</t>
        </is>
      </c>
      <c r="D86" s="23" t="inlineStr">
        <is>
          <t>5.14.21-150400.24.63-default</t>
        </is>
      </c>
      <c r="E86" s="25" t="inlineStr">
        <is>
          <t>NO</t>
        </is>
      </c>
      <c r="F86" s="25" t="inlineStr">
        <is>
          <t>NO</t>
        </is>
      </c>
      <c r="G86" s="26" t="inlineStr">
        <is>
          <t>Al Día</t>
        </is>
      </c>
      <c r="H86" s="23" t="inlineStr">
        <is>
          <t>SUSE Linux Enterprise (SLES)</t>
        </is>
      </c>
    </row>
    <row r="87">
      <c r="A87" s="27" t="inlineStr">
        <is>
          <t>DNS01</t>
        </is>
      </c>
      <c r="B87" s="28" t="inlineStr">
        <is>
          <t>Produccion</t>
        </is>
      </c>
      <c r="C87" s="27" t="inlineStr">
        <is>
          <t>SLES 12 SP5</t>
        </is>
      </c>
      <c r="D87" s="27" t="inlineStr">
        <is>
          <t>4.12.14-122.189-default</t>
        </is>
      </c>
      <c r="E87" s="29" t="inlineStr">
        <is>
          <t>NO</t>
        </is>
      </c>
      <c r="F87" s="29" t="inlineStr">
        <is>
          <t>NO</t>
        </is>
      </c>
      <c r="G87" s="26" t="inlineStr">
        <is>
          <t>Al Día</t>
        </is>
      </c>
      <c r="H87" s="27" t="inlineStr">
        <is>
          <t>SUSE Linux Enterprise (SLES)</t>
        </is>
      </c>
    </row>
    <row r="88">
      <c r="A88" s="23" t="inlineStr">
        <is>
          <t>DNS02</t>
        </is>
      </c>
      <c r="B88" s="24" t="inlineStr">
        <is>
          <t>Produccion</t>
        </is>
      </c>
      <c r="C88" s="23" t="inlineStr">
        <is>
          <t>SLES 12 SP5</t>
        </is>
      </c>
      <c r="D88" s="23" t="inlineStr">
        <is>
          <t>4.12.14-122.189-default</t>
        </is>
      </c>
      <c r="E88" s="25" t="inlineStr">
        <is>
          <t>NO</t>
        </is>
      </c>
      <c r="F88" s="25" t="inlineStr">
        <is>
          <t>NO</t>
        </is>
      </c>
      <c r="G88" s="26" t="inlineStr">
        <is>
          <t>Al Día</t>
        </is>
      </c>
      <c r="H88" s="23" t="inlineStr">
        <is>
          <t>SUSE Linux Enterprise (SLES)</t>
        </is>
      </c>
    </row>
    <row r="89">
      <c r="A89" s="27" t="inlineStr">
        <is>
          <t>DNS04</t>
        </is>
      </c>
      <c r="B89" s="28" t="inlineStr">
        <is>
          <t>Produccion</t>
        </is>
      </c>
      <c r="C89" s="27" t="inlineStr">
        <is>
          <t>SLES 12 SP5</t>
        </is>
      </c>
      <c r="D89" s="27" t="inlineStr">
        <is>
          <t>4.12.14-122.189-default</t>
        </is>
      </c>
      <c r="E89" s="29" t="inlineStr">
        <is>
          <t>NO</t>
        </is>
      </c>
      <c r="F89" s="29" t="inlineStr">
        <is>
          <t>NO</t>
        </is>
      </c>
      <c r="G89" s="26" t="inlineStr">
        <is>
          <t>Al Día</t>
        </is>
      </c>
      <c r="H89" s="27" t="inlineStr">
        <is>
          <t>SUSE Linux Enterprise (SLES)</t>
        </is>
      </c>
    </row>
    <row r="90">
      <c r="A90" s="23" t="inlineStr">
        <is>
          <t>DNS05</t>
        </is>
      </c>
      <c r="B90" s="24" t="inlineStr">
        <is>
          <t>Produccion</t>
        </is>
      </c>
      <c r="C90" s="23" t="inlineStr">
        <is>
          <t>SLES 12 SP5</t>
        </is>
      </c>
      <c r="D90" s="23" t="inlineStr">
        <is>
          <t>4.12.14-122.189-default</t>
        </is>
      </c>
      <c r="E90" s="25" t="inlineStr">
        <is>
          <t>NO</t>
        </is>
      </c>
      <c r="F90" s="25" t="inlineStr">
        <is>
          <t>NO</t>
        </is>
      </c>
      <c r="G90" s="26" t="inlineStr">
        <is>
          <t>Al Día</t>
        </is>
      </c>
      <c r="H90" s="23" t="inlineStr">
        <is>
          <t>SUSE Linux Enterprise (SLES)</t>
        </is>
      </c>
    </row>
    <row r="91">
      <c r="A91" s="27" t="inlineStr">
        <is>
          <t>FAMAAPP01</t>
        </is>
      </c>
      <c r="B91" s="28" t="inlineStr">
        <is>
          <t>Produccion</t>
        </is>
      </c>
      <c r="C91" s="27" t="inlineStr">
        <is>
          <t>SLES 12 SP5</t>
        </is>
      </c>
      <c r="D91" s="27" t="inlineStr">
        <is>
          <t>4.12.14-122.110-default</t>
        </is>
      </c>
      <c r="E91" s="29" t="inlineStr">
        <is>
          <t>NO</t>
        </is>
      </c>
      <c r="F91" s="29" t="inlineStr">
        <is>
          <t>NO</t>
        </is>
      </c>
      <c r="G91" s="26" t="inlineStr">
        <is>
          <t>Al Día</t>
        </is>
      </c>
      <c r="H91" s="27" t="inlineStr">
        <is>
          <t>SUSE Linux Enterprise (SLES)</t>
        </is>
      </c>
    </row>
    <row r="92">
      <c r="A92" s="23" t="inlineStr">
        <is>
          <t>INTRAHSP01</t>
        </is>
      </c>
      <c r="B92" s="24" t="inlineStr">
        <is>
          <t>Produccion</t>
        </is>
      </c>
      <c r="C92" s="23" t="inlineStr">
        <is>
          <t>SLES 12 SP5</t>
        </is>
      </c>
      <c r="D92" s="23" t="inlineStr">
        <is>
          <t>4.12.14-122.12-default</t>
        </is>
      </c>
      <c r="E92" s="25" t="inlineStr">
        <is>
          <t>NO</t>
        </is>
      </c>
      <c r="F92" s="25" t="inlineStr">
        <is>
          <t>NO</t>
        </is>
      </c>
      <c r="G92" s="26" t="inlineStr">
        <is>
          <t>Al Día</t>
        </is>
      </c>
      <c r="H92" s="23" t="inlineStr">
        <is>
          <t>SUSE Linux Enterprise (SLES)</t>
        </is>
      </c>
    </row>
    <row r="93">
      <c r="A93" s="27" t="inlineStr">
        <is>
          <t>INTRAHSP02</t>
        </is>
      </c>
      <c r="B93" s="28" t="inlineStr">
        <is>
          <t>Produccion</t>
        </is>
      </c>
      <c r="C93" s="27" t="inlineStr">
        <is>
          <t>SLES 12 SP5</t>
        </is>
      </c>
      <c r="D93" s="27" t="inlineStr">
        <is>
          <t>4.12.14-122.12-default</t>
        </is>
      </c>
      <c r="E93" s="29" t="inlineStr">
        <is>
          <t>NO</t>
        </is>
      </c>
      <c r="F93" s="29" t="inlineStr">
        <is>
          <t>NO</t>
        </is>
      </c>
      <c r="G93" s="26" t="inlineStr">
        <is>
          <t>Al Día</t>
        </is>
      </c>
      <c r="H93" s="27" t="inlineStr">
        <is>
          <t>SUSE Linux Enterprise (SLES)</t>
        </is>
      </c>
    </row>
    <row r="94">
      <c r="A94" s="23" t="inlineStr">
        <is>
          <t>INTRAHSP03</t>
        </is>
      </c>
      <c r="B94" s="24" t="inlineStr">
        <is>
          <t>Produccion</t>
        </is>
      </c>
      <c r="C94" s="23" t="inlineStr">
        <is>
          <t>SLES 12 SP5</t>
        </is>
      </c>
      <c r="D94" s="23" t="inlineStr">
        <is>
          <t>4.12.14-122.12-default</t>
        </is>
      </c>
      <c r="E94" s="25" t="inlineStr">
        <is>
          <t>NO</t>
        </is>
      </c>
      <c r="F94" s="25" t="inlineStr">
        <is>
          <t>NO</t>
        </is>
      </c>
      <c r="G94" s="26" t="inlineStr">
        <is>
          <t>Al Día</t>
        </is>
      </c>
      <c r="H94" s="23" t="inlineStr">
        <is>
          <t>SUSE Linux Enterprise (SLES)</t>
        </is>
      </c>
    </row>
    <row r="95">
      <c r="A95" s="27" t="inlineStr">
        <is>
          <t>JARTUM</t>
        </is>
      </c>
      <c r="B95" s="28" t="inlineStr">
        <is>
          <t>Produccion</t>
        </is>
      </c>
      <c r="C95" s="27" t="inlineStr">
        <is>
          <t>SLES 12 SP5</t>
        </is>
      </c>
      <c r="D95" s="27" t="inlineStr">
        <is>
          <t>4.12.14-122.110-default</t>
        </is>
      </c>
      <c r="E95" s="31" t="inlineStr">
        <is>
          <t>SI</t>
        </is>
      </c>
      <c r="F95" s="29" t="inlineStr">
        <is>
          <t>NO</t>
        </is>
      </c>
      <c r="G95" s="32" t="inlineStr">
        <is>
          <t>Parche Disponible</t>
        </is>
      </c>
      <c r="H95" s="27" t="inlineStr">
        <is>
          <t>SUSE Linux Enterprise (SLES)</t>
        </is>
      </c>
    </row>
    <row r="96">
      <c r="A96" s="23" t="inlineStr">
        <is>
          <t>OPENLAB01</t>
        </is>
      </c>
      <c r="B96" s="24" t="inlineStr">
        <is>
          <t>Produccion</t>
        </is>
      </c>
      <c r="C96" s="23" t="inlineStr">
        <is>
          <t>SLES 12 SP5</t>
        </is>
      </c>
      <c r="D96" s="23" t="inlineStr">
        <is>
          <t>4.12.14-122.110-default</t>
        </is>
      </c>
      <c r="E96" s="25" t="inlineStr">
        <is>
          <t>NO</t>
        </is>
      </c>
      <c r="F96" s="25" t="inlineStr">
        <is>
          <t>NO</t>
        </is>
      </c>
      <c r="G96" s="26" t="inlineStr">
        <is>
          <t>Al Día</t>
        </is>
      </c>
      <c r="H96" s="23" t="inlineStr">
        <is>
          <t>SUSE Linux Enterprise (SLES)</t>
        </is>
      </c>
    </row>
    <row r="97">
      <c r="A97" s="27" t="inlineStr">
        <is>
          <t>OPENLAB05</t>
        </is>
      </c>
      <c r="B97" s="28" t="inlineStr">
        <is>
          <t>Produccion</t>
        </is>
      </c>
      <c r="C97" s="27" t="inlineStr">
        <is>
          <t>SLES 12 SP5</t>
        </is>
      </c>
      <c r="D97" s="27" t="inlineStr">
        <is>
          <t>4.12.14-122.37-default</t>
        </is>
      </c>
      <c r="E97" s="29" t="inlineStr">
        <is>
          <t>NO</t>
        </is>
      </c>
      <c r="F97" s="29" t="inlineStr">
        <is>
          <t>NO</t>
        </is>
      </c>
      <c r="G97" s="26" t="inlineStr">
        <is>
          <t>Al Día</t>
        </is>
      </c>
      <c r="H97" s="27" t="inlineStr">
        <is>
          <t>SUSE Linux Enterprise (SLES)</t>
        </is>
      </c>
    </row>
    <row r="98">
      <c r="A98" s="23" t="inlineStr">
        <is>
          <t>OPENLAB08</t>
        </is>
      </c>
      <c r="B98" s="24" t="inlineStr">
        <is>
          <t>Produccion</t>
        </is>
      </c>
      <c r="C98" s="23" t="inlineStr">
        <is>
          <t>SLES 12 SP5</t>
        </is>
      </c>
      <c r="D98" s="23" t="inlineStr">
        <is>
          <t>4.12.14-122.110-default</t>
        </is>
      </c>
      <c r="E98" s="25" t="inlineStr">
        <is>
          <t>NO</t>
        </is>
      </c>
      <c r="F98" s="25" t="inlineStr">
        <is>
          <t>NO</t>
        </is>
      </c>
      <c r="G98" s="26" t="inlineStr">
        <is>
          <t>Al Día</t>
        </is>
      </c>
      <c r="H98" s="23" t="inlineStr">
        <is>
          <t>SUSE Linux Enterprise (SLES)</t>
        </is>
      </c>
    </row>
    <row r="99">
      <c r="A99" s="27" t="inlineStr">
        <is>
          <t>PUIGMAL</t>
        </is>
      </c>
      <c r="B99" s="28" t="inlineStr">
        <is>
          <t>Produccion</t>
        </is>
      </c>
      <c r="C99" s="27" t="inlineStr">
        <is>
          <t>SLES 12 SP5</t>
        </is>
      </c>
      <c r="D99" s="27" t="inlineStr">
        <is>
          <t>4.12.14-122.136-default</t>
        </is>
      </c>
      <c r="E99" s="29" t="inlineStr">
        <is>
          <t>NO</t>
        </is>
      </c>
      <c r="F99" s="29" t="inlineStr">
        <is>
          <t>NO</t>
        </is>
      </c>
      <c r="G99" s="26" t="inlineStr">
        <is>
          <t>Al Día</t>
        </is>
      </c>
      <c r="H99" s="27" t="inlineStr">
        <is>
          <t>SUSE Linux Enterprise (SLES)</t>
        </is>
      </c>
    </row>
    <row r="100">
      <c r="A100" s="23" t="inlineStr">
        <is>
          <t>PUIGSACALM</t>
        </is>
      </c>
      <c r="B100" s="24" t="inlineStr">
        <is>
          <t>Produccion</t>
        </is>
      </c>
      <c r="C100" s="23" t="inlineStr">
        <is>
          <t>SLES 12 SP5</t>
        </is>
      </c>
      <c r="D100" s="23" t="inlineStr">
        <is>
          <t>4.12.14-122.136-default</t>
        </is>
      </c>
      <c r="E100" s="25" t="inlineStr">
        <is>
          <t>NO</t>
        </is>
      </c>
      <c r="F100" s="25" t="inlineStr">
        <is>
          <t>NO</t>
        </is>
      </c>
      <c r="G100" s="26" t="inlineStr">
        <is>
          <t>Al Día</t>
        </is>
      </c>
      <c r="H100" s="23" t="inlineStr">
        <is>
          <t>SUSE Linux Enterprise (SLES)</t>
        </is>
      </c>
    </row>
    <row r="101">
      <c r="A101" s="27" t="inlineStr">
        <is>
          <t>SAPSOLMAN01</t>
        </is>
      </c>
      <c r="B101" s="28" t="inlineStr">
        <is>
          <t>Produccion</t>
        </is>
      </c>
      <c r="C101" s="27" t="inlineStr">
        <is>
          <t>SLES 12 SP4</t>
        </is>
      </c>
      <c r="D101" s="27" t="inlineStr">
        <is>
          <t>4.12.14-95.54-default</t>
        </is>
      </c>
      <c r="E101" s="29" t="inlineStr">
        <is>
          <t>NO</t>
        </is>
      </c>
      <c r="F101" s="29" t="inlineStr">
        <is>
          <t>NO</t>
        </is>
      </c>
      <c r="G101" s="26" t="inlineStr">
        <is>
          <t>Al Día</t>
        </is>
      </c>
      <c r="H101" s="27" t="inlineStr">
        <is>
          <t>SUSE Linux Enterprise (SLES)</t>
        </is>
      </c>
    </row>
    <row r="102">
      <c r="A102" s="23" t="inlineStr">
        <is>
          <t>SW-BACKUPS</t>
        </is>
      </c>
      <c r="B102" s="24" t="inlineStr">
        <is>
          <t>Produccion</t>
        </is>
      </c>
      <c r="C102" s="23" t="inlineStr">
        <is>
          <t>SLES 12 SP5</t>
        </is>
      </c>
      <c r="D102" s="23" t="inlineStr">
        <is>
          <t>4.12.14-122.110-default</t>
        </is>
      </c>
      <c r="E102" s="25" t="inlineStr">
        <is>
          <t>NO</t>
        </is>
      </c>
      <c r="F102" s="25" t="inlineStr">
        <is>
          <t>NO</t>
        </is>
      </c>
      <c r="G102" s="26" t="inlineStr">
        <is>
          <t>Al Día</t>
        </is>
      </c>
      <c r="H102" s="23" t="inlineStr">
        <is>
          <t>SUSE Linux Enterprise (SLES)</t>
        </is>
      </c>
    </row>
    <row r="103">
      <c r="A103" s="27" t="inlineStr">
        <is>
          <t>TAONET02</t>
        </is>
      </c>
      <c r="B103" s="28" t="inlineStr">
        <is>
          <t>Produccion</t>
        </is>
      </c>
      <c r="C103" s="27" t="inlineStr">
        <is>
          <t>SLES 12 SP1</t>
        </is>
      </c>
      <c r="D103" s="27" t="inlineStr">
        <is>
          <t>3.12.74-60.64.40-default</t>
        </is>
      </c>
      <c r="E103" s="29" t="inlineStr">
        <is>
          <t>NO</t>
        </is>
      </c>
      <c r="F103" s="29" t="inlineStr">
        <is>
          <t>NO</t>
        </is>
      </c>
      <c r="G103" s="26" t="inlineStr">
        <is>
          <t>Al Día</t>
        </is>
      </c>
      <c r="H103" s="27" t="inlineStr">
        <is>
          <t>SUSE Linux Enterprise (SLES)</t>
        </is>
      </c>
    </row>
    <row r="104">
      <c r="A104" s="23" t="inlineStr">
        <is>
          <t>TRAK03</t>
        </is>
      </c>
      <c r="B104" s="24" t="inlineStr">
        <is>
          <t>Produccion</t>
        </is>
      </c>
      <c r="C104" s="23" t="inlineStr">
        <is>
          <t>SLES 12 SP5</t>
        </is>
      </c>
      <c r="D104" s="23" t="inlineStr">
        <is>
          <t>4.12.14-122.26-default</t>
        </is>
      </c>
      <c r="E104" s="25" t="inlineStr">
        <is>
          <t>NO</t>
        </is>
      </c>
      <c r="F104" s="25" t="inlineStr">
        <is>
          <t>NO</t>
        </is>
      </c>
      <c r="G104" s="26" t="inlineStr">
        <is>
          <t>Al Día</t>
        </is>
      </c>
      <c r="H104" s="23" t="inlineStr">
        <is>
          <t>SUSE Linux Enterprise (SLES)</t>
        </is>
      </c>
    </row>
    <row r="105">
      <c r="A105" s="27" t="inlineStr">
        <is>
          <t>ACTIVITI01</t>
        </is>
      </c>
      <c r="B105" s="28" t="inlineStr">
        <is>
          <t>Produccion</t>
        </is>
      </c>
      <c r="C105" s="27" t="inlineStr">
        <is>
          <t>Ubuntu 16.04</t>
        </is>
      </c>
      <c r="D105" s="27" t="inlineStr">
        <is>
          <t>4.4.0-210-generic</t>
        </is>
      </c>
      <c r="E105" s="31" t="inlineStr">
        <is>
          <t>SI</t>
        </is>
      </c>
      <c r="F105" s="29" t="inlineStr">
        <is>
          <t>NO</t>
        </is>
      </c>
      <c r="G105" s="32" t="inlineStr">
        <is>
          <t>Parche Disponible</t>
        </is>
      </c>
      <c r="H105" s="27" t="inlineStr">
        <is>
          <t>Ubuntu Linux</t>
        </is>
      </c>
    </row>
    <row r="106">
      <c r="A106" s="23" t="inlineStr">
        <is>
          <t>ALINITY02</t>
        </is>
      </c>
      <c r="B106" s="24" t="inlineStr">
        <is>
          <t>Produccion</t>
        </is>
      </c>
      <c r="C106" s="23" t="inlineStr">
        <is>
          <t>No Alcanzable / Error</t>
        </is>
      </c>
      <c r="D106" s="23" t="inlineStr">
        <is>
          <t>-</t>
        </is>
      </c>
      <c r="E106" s="25" t="inlineStr">
        <is>
          <t>NO</t>
        </is>
      </c>
      <c r="F106" s="25" t="inlineStr">
        <is>
          <t>NO</t>
        </is>
      </c>
      <c r="G106" s="30" t="inlineStr">
        <is>
          <t>No Alcanzable / Error</t>
        </is>
      </c>
      <c r="H106" s="23" t="inlineStr">
        <is>
          <t>No Alcanzable / Error Conexión</t>
        </is>
      </c>
    </row>
    <row r="107">
      <c r="A107" s="27" t="inlineStr">
        <is>
          <t>APPINFURG01</t>
        </is>
      </c>
      <c r="B107" s="28" t="inlineStr">
        <is>
          <t>Produccion</t>
        </is>
      </c>
      <c r="C107" s="27" t="inlineStr">
        <is>
          <t>No Alcanzable / Error</t>
        </is>
      </c>
      <c r="D107" s="27" t="inlineStr">
        <is>
          <t>-</t>
        </is>
      </c>
      <c r="E107" s="29" t="inlineStr">
        <is>
          <t>NO</t>
        </is>
      </c>
      <c r="F107" s="29" t="inlineStr">
        <is>
          <t>NO</t>
        </is>
      </c>
      <c r="G107" s="30" t="inlineStr">
        <is>
          <t>No Alcanzable / Error</t>
        </is>
      </c>
      <c r="H107" s="27" t="inlineStr">
        <is>
          <t>No Alcanzable / Error Conexión</t>
        </is>
      </c>
    </row>
    <row r="108">
      <c r="A108" s="23" t="inlineStr">
        <is>
          <t>APPWMP01</t>
        </is>
      </c>
      <c r="B108" s="24" t="inlineStr">
        <is>
          <t>Produccion</t>
        </is>
      </c>
      <c r="C108" s="23" t="inlineStr">
        <is>
          <t>Ubuntu 22.04</t>
        </is>
      </c>
      <c r="D108" s="23" t="inlineStr">
        <is>
          <t>5.15.0-140-generic</t>
        </is>
      </c>
      <c r="E108" s="31" t="inlineStr">
        <is>
          <t>SI</t>
        </is>
      </c>
      <c r="F108" s="33" t="inlineStr">
        <is>
          <t>SI</t>
        </is>
      </c>
      <c r="G108" s="34" t="inlineStr">
        <is>
          <t>Reinicio Pendiente</t>
        </is>
      </c>
      <c r="H108" s="23" t="inlineStr">
        <is>
          <t>Ubuntu Linux</t>
        </is>
      </c>
    </row>
    <row r="109">
      <c r="A109" s="27" t="inlineStr">
        <is>
          <t>ARUM01</t>
        </is>
      </c>
      <c r="B109" s="28" t="inlineStr">
        <is>
          <t>Produccion</t>
        </is>
      </c>
      <c r="C109" s="27" t="inlineStr">
        <is>
          <t>Ubuntu 18.04</t>
        </is>
      </c>
      <c r="D109" s="27" t="inlineStr">
        <is>
          <t>4.15.0-213-generic</t>
        </is>
      </c>
      <c r="E109" s="29" t="inlineStr">
        <is>
          <t>NO</t>
        </is>
      </c>
      <c r="F109" s="29" t="inlineStr">
        <is>
          <t>NO</t>
        </is>
      </c>
      <c r="G109" s="26" t="inlineStr">
        <is>
          <t>Al Día</t>
        </is>
      </c>
      <c r="H109" s="27" t="inlineStr">
        <is>
          <t>Ubuntu Linux</t>
        </is>
      </c>
    </row>
    <row r="110">
      <c r="A110" s="23" t="inlineStr">
        <is>
          <t>ATB01</t>
        </is>
      </c>
      <c r="B110" s="24" t="inlineStr">
        <is>
          <t>Produccion</t>
        </is>
      </c>
      <c r="C110" s="23" t="inlineStr">
        <is>
          <t>Ubuntu 20.04</t>
        </is>
      </c>
      <c r="D110" s="23" t="inlineStr">
        <is>
          <t>5.4.0-166-generic</t>
        </is>
      </c>
      <c r="E110" s="25" t="inlineStr">
        <is>
          <t>NO</t>
        </is>
      </c>
      <c r="F110" s="33" t="inlineStr">
        <is>
          <t>SI</t>
        </is>
      </c>
      <c r="G110" s="34" t="inlineStr">
        <is>
          <t>Reinicio Pendiente</t>
        </is>
      </c>
      <c r="H110" s="23" t="inlineStr">
        <is>
          <t>Ubuntu Linux</t>
        </is>
      </c>
    </row>
    <row r="111">
      <c r="A111" s="27" t="inlineStr">
        <is>
          <t>BACTERIEMIES01</t>
        </is>
      </c>
      <c r="B111" s="28" t="inlineStr">
        <is>
          <t>Produccion</t>
        </is>
      </c>
      <c r="C111" s="27" t="inlineStr">
        <is>
          <t>Ubuntu 22.04</t>
        </is>
      </c>
      <c r="D111" s="27" t="inlineStr">
        <is>
          <t>5.15.0-71-generic</t>
        </is>
      </c>
      <c r="E111" s="29" t="inlineStr">
        <is>
          <t>NO</t>
        </is>
      </c>
      <c r="F111" s="33" t="inlineStr">
        <is>
          <t>SI</t>
        </is>
      </c>
      <c r="G111" s="34" t="inlineStr">
        <is>
          <t>Reinicio Pendiente</t>
        </is>
      </c>
      <c r="H111" s="27" t="inlineStr">
        <is>
          <t>Ubuntu Linux</t>
        </is>
      </c>
    </row>
    <row r="112">
      <c r="A112" s="23" t="inlineStr">
        <is>
          <t>DNA-BACKUPS</t>
        </is>
      </c>
      <c r="B112" s="24" t="inlineStr">
        <is>
          <t>Produccion</t>
        </is>
      </c>
      <c r="C112" s="23" t="inlineStr">
        <is>
          <t>Ubuntu 16.04</t>
        </is>
      </c>
      <c r="D112" s="23" t="inlineStr">
        <is>
          <t>4.4.0-186-generic</t>
        </is>
      </c>
      <c r="E112" s="25" t="inlineStr">
        <is>
          <t>NO</t>
        </is>
      </c>
      <c r="F112" s="25" t="inlineStr">
        <is>
          <t>NO</t>
        </is>
      </c>
      <c r="G112" s="26" t="inlineStr">
        <is>
          <t>Al Día</t>
        </is>
      </c>
      <c r="H112" s="23" t="inlineStr">
        <is>
          <t>Ubuntu Linux</t>
        </is>
      </c>
    </row>
    <row r="113">
      <c r="A113" s="27" t="inlineStr">
        <is>
          <t>DOKUFLEX01</t>
        </is>
      </c>
      <c r="B113" s="28" t="inlineStr">
        <is>
          <t>Produccion</t>
        </is>
      </c>
      <c r="C113" s="27" t="inlineStr">
        <is>
          <t>Ubuntu 16.04</t>
        </is>
      </c>
      <c r="D113" s="27" t="inlineStr">
        <is>
          <t>4.4.0-210-generic</t>
        </is>
      </c>
      <c r="E113" s="31" t="inlineStr">
        <is>
          <t>SI</t>
        </is>
      </c>
      <c r="F113" s="29" t="inlineStr">
        <is>
          <t>NO</t>
        </is>
      </c>
      <c r="G113" s="32" t="inlineStr">
        <is>
          <t>Parche Disponible</t>
        </is>
      </c>
      <c r="H113" s="27" t="inlineStr">
        <is>
          <t>Ubuntu Linux</t>
        </is>
      </c>
    </row>
    <row r="114">
      <c r="A114" s="23" t="inlineStr">
        <is>
          <t>DOKUFLEX01CONS</t>
        </is>
      </c>
      <c r="B114" s="24" t="inlineStr">
        <is>
          <t>Produccion</t>
        </is>
      </c>
      <c r="C114" s="23" t="inlineStr">
        <is>
          <t>Ubuntu 16.04</t>
        </is>
      </c>
      <c r="D114" s="23" t="inlineStr">
        <is>
          <t>4.4.0-210-generic</t>
        </is>
      </c>
      <c r="E114" s="31" t="inlineStr">
        <is>
          <t>SI</t>
        </is>
      </c>
      <c r="F114" s="25" t="inlineStr">
        <is>
          <t>NO</t>
        </is>
      </c>
      <c r="G114" s="32" t="inlineStr">
        <is>
          <t>Parche Disponible</t>
        </is>
      </c>
      <c r="H114" s="23" t="inlineStr">
        <is>
          <t>Ubuntu Linux</t>
        </is>
      </c>
    </row>
    <row r="115">
      <c r="A115" s="27" t="inlineStr">
        <is>
          <t>ENIGMAPRN03</t>
        </is>
      </c>
      <c r="B115" s="28" t="inlineStr">
        <is>
          <t>Produccion</t>
        </is>
      </c>
      <c r="C115" s="27" t="inlineStr">
        <is>
          <t>Ubuntu 22.04</t>
        </is>
      </c>
      <c r="D115" s="27" t="inlineStr">
        <is>
          <t>5.15.0-107-generic</t>
        </is>
      </c>
      <c r="E115" s="29" t="inlineStr">
        <is>
          <t>NO</t>
        </is>
      </c>
      <c r="F115" s="33" t="inlineStr">
        <is>
          <t>SI</t>
        </is>
      </c>
      <c r="G115" s="34" t="inlineStr">
        <is>
          <t>Reinicio Pendiente</t>
        </is>
      </c>
      <c r="H115" s="27" t="inlineStr">
        <is>
          <t>Ubuntu Linux</t>
        </is>
      </c>
    </row>
    <row r="116">
      <c r="A116" s="23" t="inlineStr">
        <is>
          <t>FLINKISO01</t>
        </is>
      </c>
      <c r="B116" s="24" t="inlineStr">
        <is>
          <t>Produccion</t>
        </is>
      </c>
      <c r="C116" s="23" t="inlineStr">
        <is>
          <t>No Alcanzable / Error</t>
        </is>
      </c>
      <c r="D116" s="23" t="inlineStr">
        <is>
          <t>-</t>
        </is>
      </c>
      <c r="E116" s="25" t="inlineStr">
        <is>
          <t>NO</t>
        </is>
      </c>
      <c r="F116" s="25" t="inlineStr">
        <is>
          <t>NO</t>
        </is>
      </c>
      <c r="G116" s="30" t="inlineStr">
        <is>
          <t>No Alcanzable / Error</t>
        </is>
      </c>
      <c r="H116" s="23" t="inlineStr">
        <is>
          <t>No Alcanzable / Error Conexión</t>
        </is>
      </c>
    </row>
    <row r="117">
      <c r="A117" s="27" t="inlineStr">
        <is>
          <t>GESTIOIP</t>
        </is>
      </c>
      <c r="B117" s="28" t="inlineStr">
        <is>
          <t>Produccion</t>
        </is>
      </c>
      <c r="C117" s="27" t="inlineStr">
        <is>
          <t>Ubuntu 22.04</t>
        </is>
      </c>
      <c r="D117" s="27" t="inlineStr">
        <is>
          <t>5.15.0-141-generic</t>
        </is>
      </c>
      <c r="E117" s="29" t="inlineStr">
        <is>
          <t>NO</t>
        </is>
      </c>
      <c r="F117" s="33" t="inlineStr">
        <is>
          <t>SI</t>
        </is>
      </c>
      <c r="G117" s="34" t="inlineStr">
        <is>
          <t>Reinicio Pendiente</t>
        </is>
      </c>
      <c r="H117" s="27" t="inlineStr">
        <is>
          <t>Ubuntu Linux</t>
        </is>
      </c>
    </row>
    <row r="118">
      <c r="A118" s="23" t="inlineStr">
        <is>
          <t>GITLAB01</t>
        </is>
      </c>
      <c r="B118" s="24" t="inlineStr">
        <is>
          <t>Produccion</t>
        </is>
      </c>
      <c r="C118" s="23" t="inlineStr">
        <is>
          <t>Ubuntu 22.04</t>
        </is>
      </c>
      <c r="D118" s="23" t="inlineStr">
        <is>
          <t>5.15.0-94-generic</t>
        </is>
      </c>
      <c r="E118" s="25" t="inlineStr">
        <is>
          <t>NO</t>
        </is>
      </c>
      <c r="F118" s="33" t="inlineStr">
        <is>
          <t>SI</t>
        </is>
      </c>
      <c r="G118" s="34" t="inlineStr">
        <is>
          <t>Reinicio Pendiente</t>
        </is>
      </c>
      <c r="H118" s="23" t="inlineStr">
        <is>
          <t>Ubuntu Linux</t>
        </is>
      </c>
    </row>
    <row r="119">
      <c r="A119" s="27" t="inlineStr">
        <is>
          <t>JENKINS01</t>
        </is>
      </c>
      <c r="B119" s="28" t="inlineStr">
        <is>
          <t>Produccion</t>
        </is>
      </c>
      <c r="C119" s="27" t="inlineStr">
        <is>
          <t>Ubuntu 22.04</t>
        </is>
      </c>
      <c r="D119" s="27" t="inlineStr">
        <is>
          <t>5.15.0-177-generic</t>
        </is>
      </c>
      <c r="E119" s="29" t="inlineStr">
        <is>
          <t>NO</t>
        </is>
      </c>
      <c r="F119" s="29" t="inlineStr">
        <is>
          <t>NO</t>
        </is>
      </c>
      <c r="G119" s="26" t="inlineStr">
        <is>
          <t>Al Día</t>
        </is>
      </c>
      <c r="H119" s="27" t="inlineStr">
        <is>
          <t>Ubuntu Linux</t>
        </is>
      </c>
    </row>
    <row r="120">
      <c r="A120" s="23" t="inlineStr">
        <is>
          <t>JIRAHSP</t>
        </is>
      </c>
      <c r="B120" s="24" t="inlineStr">
        <is>
          <t>Produccion</t>
        </is>
      </c>
      <c r="C120" s="23" t="inlineStr">
        <is>
          <t>Ubuntu 22.04</t>
        </is>
      </c>
      <c r="D120" s="23" t="inlineStr">
        <is>
          <t>5.15.0-177-generic</t>
        </is>
      </c>
      <c r="E120" s="25" t="inlineStr">
        <is>
          <t>NO</t>
        </is>
      </c>
      <c r="F120" s="25" t="inlineStr">
        <is>
          <t>NO</t>
        </is>
      </c>
      <c r="G120" s="26" t="inlineStr">
        <is>
          <t>Al Día</t>
        </is>
      </c>
      <c r="H120" s="23" t="inlineStr">
        <is>
          <t>Ubuntu Linux</t>
        </is>
      </c>
    </row>
    <row r="121">
      <c r="A121" s="27" t="inlineStr">
        <is>
          <t>KABISOFT01</t>
        </is>
      </c>
      <c r="B121" s="28" t="inlineStr">
        <is>
          <t>Produccion</t>
        </is>
      </c>
      <c r="C121" s="27" t="inlineStr">
        <is>
          <t>Ubuntu 22.04</t>
        </is>
      </c>
      <c r="D121" s="27" t="inlineStr">
        <is>
          <t>5.15.0-181-generic</t>
        </is>
      </c>
      <c r="E121" s="31" t="inlineStr">
        <is>
          <t>SI</t>
        </is>
      </c>
      <c r="F121" s="33" t="inlineStr">
        <is>
          <t>SI</t>
        </is>
      </c>
      <c r="G121" s="34" t="inlineStr">
        <is>
          <t>Reinicio Pendiente</t>
        </is>
      </c>
      <c r="H121" s="27" t="inlineStr">
        <is>
          <t>Ubuntu Linux</t>
        </is>
      </c>
    </row>
    <row r="122">
      <c r="A122" s="23" t="inlineStr">
        <is>
          <t>MDM01</t>
        </is>
      </c>
      <c r="B122" s="24" t="inlineStr">
        <is>
          <t>Produccion</t>
        </is>
      </c>
      <c r="C122" s="23" t="inlineStr">
        <is>
          <t>No Alcanzable / Error</t>
        </is>
      </c>
      <c r="D122" s="23" t="inlineStr">
        <is>
          <t>-</t>
        </is>
      </c>
      <c r="E122" s="25" t="inlineStr">
        <is>
          <t>NO</t>
        </is>
      </c>
      <c r="F122" s="25" t="inlineStr">
        <is>
          <t>NO</t>
        </is>
      </c>
      <c r="G122" s="30" t="inlineStr">
        <is>
          <t>No Alcanzable / Error</t>
        </is>
      </c>
      <c r="H122" s="23" t="inlineStr">
        <is>
          <t>No Alcanzable / Error Conexión</t>
        </is>
      </c>
    </row>
    <row r="123">
      <c r="A123" s="27" t="inlineStr">
        <is>
          <t>MOODLE</t>
        </is>
      </c>
      <c r="B123" s="28" t="inlineStr">
        <is>
          <t>Produccion</t>
        </is>
      </c>
      <c r="C123" s="27" t="inlineStr">
        <is>
          <t>Ubuntu 22.04</t>
        </is>
      </c>
      <c r="D123" s="27" t="inlineStr">
        <is>
          <t>5.15.0-122-generic</t>
        </is>
      </c>
      <c r="E123" s="31" t="inlineStr">
        <is>
          <t>SI</t>
        </is>
      </c>
      <c r="F123" s="33" t="inlineStr">
        <is>
          <t>SI</t>
        </is>
      </c>
      <c r="G123" s="34" t="inlineStr">
        <is>
          <t>Reinicio Pendiente</t>
        </is>
      </c>
      <c r="H123" s="27" t="inlineStr">
        <is>
          <t>Ubuntu Linux</t>
        </is>
      </c>
    </row>
    <row r="124">
      <c r="A124" s="23" t="inlineStr">
        <is>
          <t>NEXUS01</t>
        </is>
      </c>
      <c r="B124" s="24" t="inlineStr">
        <is>
          <t>Produccion</t>
        </is>
      </c>
      <c r="C124" s="23" t="inlineStr">
        <is>
          <t>Ubuntu 22.04</t>
        </is>
      </c>
      <c r="D124" s="23" t="inlineStr">
        <is>
          <t>5.15.0-89-generic</t>
        </is>
      </c>
      <c r="E124" s="25" t="inlineStr">
        <is>
          <t>NO</t>
        </is>
      </c>
      <c r="F124" s="33" t="inlineStr">
        <is>
          <t>SI</t>
        </is>
      </c>
      <c r="G124" s="34" t="inlineStr">
        <is>
          <t>Reinicio Pendiente</t>
        </is>
      </c>
      <c r="H124" s="23" t="inlineStr">
        <is>
          <t>Ubuntu Linux</t>
        </is>
      </c>
    </row>
    <row r="125">
      <c r="A125" s="27" t="inlineStr">
        <is>
          <t>OMAWEB01</t>
        </is>
      </c>
      <c r="B125" s="28" t="inlineStr">
        <is>
          <t>Produccion</t>
        </is>
      </c>
      <c r="C125" s="27" t="inlineStr">
        <is>
          <t>Ubuntu 20.04</t>
        </is>
      </c>
      <c r="D125" s="27" t="inlineStr">
        <is>
          <t>5.4.0-152-generic</t>
        </is>
      </c>
      <c r="E125" s="29" t="inlineStr">
        <is>
          <t>NO</t>
        </is>
      </c>
      <c r="F125" s="33" t="inlineStr">
        <is>
          <t>SI</t>
        </is>
      </c>
      <c r="G125" s="34" t="inlineStr">
        <is>
          <t>Reinicio Pendiente</t>
        </is>
      </c>
      <c r="H125" s="27" t="inlineStr">
        <is>
          <t>Ubuntu Linux</t>
        </is>
      </c>
    </row>
    <row r="126">
      <c r="A126" s="23" t="inlineStr">
        <is>
          <t>RECERCA02</t>
        </is>
      </c>
      <c r="B126" s="24" t="inlineStr">
        <is>
          <t>Produccion</t>
        </is>
      </c>
      <c r="C126" s="23" t="inlineStr">
        <is>
          <t>Ubuntu 14.04</t>
        </is>
      </c>
      <c r="D126" s="23" t="inlineStr">
        <is>
          <t>3.13.0-39-generic</t>
        </is>
      </c>
      <c r="E126" s="31" t="inlineStr">
        <is>
          <t>SI</t>
        </is>
      </c>
      <c r="F126" s="25" t="inlineStr">
        <is>
          <t>NO</t>
        </is>
      </c>
      <c r="G126" s="32" t="inlineStr">
        <is>
          <t>Parche Disponible</t>
        </is>
      </c>
      <c r="H126" s="23" t="inlineStr">
        <is>
          <t>Ubuntu Linux</t>
        </is>
      </c>
    </row>
    <row r="127">
      <c r="A127" s="27" t="inlineStr">
        <is>
          <t>REDIS01</t>
        </is>
      </c>
      <c r="B127" s="28" t="inlineStr">
        <is>
          <t>Produccion</t>
        </is>
      </c>
      <c r="C127" s="27" t="inlineStr">
        <is>
          <t>Ubuntu 22.04</t>
        </is>
      </c>
      <c r="D127" s="27" t="inlineStr">
        <is>
          <t>5.15.0-91-generic</t>
        </is>
      </c>
      <c r="E127" s="29" t="inlineStr">
        <is>
          <t>NO</t>
        </is>
      </c>
      <c r="F127" s="33" t="inlineStr">
        <is>
          <t>SI</t>
        </is>
      </c>
      <c r="G127" s="34" t="inlineStr">
        <is>
          <t>Reinicio Pendiente</t>
        </is>
      </c>
      <c r="H127" s="27" t="inlineStr">
        <is>
          <t>Ubuntu Linux</t>
        </is>
      </c>
    </row>
    <row r="128">
      <c r="A128" s="23" t="inlineStr">
        <is>
          <t>SAU01</t>
        </is>
      </c>
      <c r="B128" s="24" t="inlineStr">
        <is>
          <t>Produccion</t>
        </is>
      </c>
      <c r="C128" s="23" t="inlineStr">
        <is>
          <t>Ubuntu 20.04</t>
        </is>
      </c>
      <c r="D128" s="23" t="inlineStr">
        <is>
          <t>5.4.0-216-generic</t>
        </is>
      </c>
      <c r="E128" s="31" t="inlineStr">
        <is>
          <t>SI</t>
        </is>
      </c>
      <c r="F128" s="25" t="inlineStr">
        <is>
          <t>NO</t>
        </is>
      </c>
      <c r="G128" s="32" t="inlineStr">
        <is>
          <t>Parche Disponible</t>
        </is>
      </c>
      <c r="H128" s="23" t="inlineStr">
        <is>
          <t>Ubuntu Linux</t>
        </is>
      </c>
    </row>
    <row r="129">
      <c r="A129" s="27" t="inlineStr">
        <is>
          <t>SCANNESSUS01</t>
        </is>
      </c>
      <c r="B129" s="28" t="inlineStr">
        <is>
          <t>Produccion</t>
        </is>
      </c>
      <c r="C129" s="27" t="inlineStr">
        <is>
          <t>Ubuntu 20.04</t>
        </is>
      </c>
      <c r="D129" s="27" t="inlineStr">
        <is>
          <t>5.4.0-173-generic</t>
        </is>
      </c>
      <c r="E129" s="29" t="inlineStr">
        <is>
          <t>NO</t>
        </is>
      </c>
      <c r="F129" s="33" t="inlineStr">
        <is>
          <t>SI</t>
        </is>
      </c>
      <c r="G129" s="34" t="inlineStr">
        <is>
          <t>Reinicio Pendiente</t>
        </is>
      </c>
      <c r="H129" s="27" t="inlineStr">
        <is>
          <t>Ubuntu Linux</t>
        </is>
      </c>
    </row>
    <row r="130">
      <c r="A130" s="23" t="inlineStr">
        <is>
          <t>SENTRY01</t>
        </is>
      </c>
      <c r="B130" s="24" t="inlineStr">
        <is>
          <t>Produccion</t>
        </is>
      </c>
      <c r="C130" s="23" t="inlineStr">
        <is>
          <t>Ubuntu 22.04</t>
        </is>
      </c>
      <c r="D130" s="23" t="inlineStr">
        <is>
          <t>5.15.0-121-generic</t>
        </is>
      </c>
      <c r="E130" s="25" t="inlineStr">
        <is>
          <t>NO</t>
        </is>
      </c>
      <c r="F130" s="33" t="inlineStr">
        <is>
          <t>SI</t>
        </is>
      </c>
      <c r="G130" s="34" t="inlineStr">
        <is>
          <t>Reinicio Pendiente</t>
        </is>
      </c>
      <c r="H130" s="23" t="inlineStr">
        <is>
          <t>Ubuntu Linux</t>
        </is>
      </c>
    </row>
    <row r="131">
      <c r="A131" s="27" t="inlineStr">
        <is>
          <t>SONARQUBE01</t>
        </is>
      </c>
      <c r="B131" s="28" t="inlineStr">
        <is>
          <t>Produccion</t>
        </is>
      </c>
      <c r="C131" s="27" t="inlineStr">
        <is>
          <t>Ubuntu 22.04</t>
        </is>
      </c>
      <c r="D131" s="27" t="inlineStr">
        <is>
          <t>5.15.0-160-generic</t>
        </is>
      </c>
      <c r="E131" s="29" t="inlineStr">
        <is>
          <t>NO</t>
        </is>
      </c>
      <c r="F131" s="33" t="inlineStr">
        <is>
          <t>SI</t>
        </is>
      </c>
      <c r="G131" s="34" t="inlineStr">
        <is>
          <t>Reinicio Pendiente</t>
        </is>
      </c>
      <c r="H131" s="27" t="inlineStr">
        <is>
          <t>Ubuntu Linux</t>
        </is>
      </c>
    </row>
    <row r="132">
      <c r="A132" s="23" t="inlineStr">
        <is>
          <t>UBUNTU01</t>
        </is>
      </c>
      <c r="B132" s="24" t="inlineStr">
        <is>
          <t>Produccion</t>
        </is>
      </c>
      <c r="C132" s="23" t="inlineStr">
        <is>
          <t>Ubuntu 16.04</t>
        </is>
      </c>
      <c r="D132" s="23" t="inlineStr">
        <is>
          <t>4.4.0-59-generic</t>
        </is>
      </c>
      <c r="E132" s="25" t="inlineStr">
        <is>
          <t>NO</t>
        </is>
      </c>
      <c r="F132" s="33" t="inlineStr">
        <is>
          <t>SI</t>
        </is>
      </c>
      <c r="G132" s="34" t="inlineStr">
        <is>
          <t>Reinicio Pendiente</t>
        </is>
      </c>
      <c r="H132" s="23" t="inlineStr">
        <is>
          <t>Ubuntu Linux</t>
        </is>
      </c>
    </row>
    <row r="133">
      <c r="A133" s="27" t="inlineStr">
        <is>
          <t>XICVAR01</t>
        </is>
      </c>
      <c r="B133" s="28" t="inlineStr">
        <is>
          <t>Produccion</t>
        </is>
      </c>
      <c r="C133" s="27" t="inlineStr">
        <is>
          <t>Ubuntu 22.04</t>
        </is>
      </c>
      <c r="D133" s="27" t="inlineStr">
        <is>
          <t>5.15.0-105-generic</t>
        </is>
      </c>
      <c r="E133" s="29" t="inlineStr">
        <is>
          <t>NO</t>
        </is>
      </c>
      <c r="F133" s="33" t="inlineStr">
        <is>
          <t>SI</t>
        </is>
      </c>
      <c r="G133" s="34" t="inlineStr">
        <is>
          <t>Reinicio Pendiente</t>
        </is>
      </c>
      <c r="H133" s="27" t="inlineStr">
        <is>
          <t>Ubuntu Linux</t>
        </is>
      </c>
    </row>
    <row r="134">
      <c r="A134" s="23" t="inlineStr">
        <is>
          <t>XSOAROTPALOALTO</t>
        </is>
      </c>
      <c r="B134" s="24" t="inlineStr">
        <is>
          <t>Produccion</t>
        </is>
      </c>
      <c r="C134" s="23" t="inlineStr">
        <is>
          <t>No Alcanzable / Error</t>
        </is>
      </c>
      <c r="D134" s="23" t="inlineStr">
        <is>
          <t>-</t>
        </is>
      </c>
      <c r="E134" s="25" t="inlineStr">
        <is>
          <t>NO</t>
        </is>
      </c>
      <c r="F134" s="25" t="inlineStr">
        <is>
          <t>NO</t>
        </is>
      </c>
      <c r="G134" s="30" t="inlineStr">
        <is>
          <t>No Alcanzable / Error</t>
        </is>
      </c>
      <c r="H134" s="23" t="inlineStr">
        <is>
          <t>No Alcanzable / Error Conexión</t>
        </is>
      </c>
    </row>
    <row r="135">
      <c r="A135" s="27" t="inlineStr">
        <is>
          <t>bastion01</t>
        </is>
      </c>
      <c r="B135" s="28" t="inlineStr">
        <is>
          <t>Produccion</t>
        </is>
      </c>
      <c r="C135" s="27" t="inlineStr">
        <is>
          <t>Ubuntu 22.04</t>
        </is>
      </c>
      <c r="D135" s="27" t="inlineStr">
        <is>
          <t>5.15.0-97-generic</t>
        </is>
      </c>
      <c r="E135" s="29" t="inlineStr">
        <is>
          <t>NO</t>
        </is>
      </c>
      <c r="F135" s="33" t="inlineStr">
        <is>
          <t>SI</t>
        </is>
      </c>
      <c r="G135" s="34" t="inlineStr">
        <is>
          <t>Reinicio Pendiente</t>
        </is>
      </c>
      <c r="H135" s="27" t="inlineStr">
        <is>
          <t>Ubuntu Linux</t>
        </is>
      </c>
    </row>
    <row r="136">
      <c r="A136" s="23" t="inlineStr">
        <is>
          <t>HSPEIBI01</t>
        </is>
      </c>
      <c r="B136" s="24" t="inlineStr">
        <is>
          <t>Produccion</t>
        </is>
      </c>
      <c r="C136" s="23" t="inlineStr">
        <is>
          <t>OracleLinux 8.4</t>
        </is>
      </c>
      <c r="D136" s="23" t="inlineStr">
        <is>
          <t>5.4.17-2102.203.6.el8uek.x86_64</t>
        </is>
      </c>
      <c r="E136" s="31" t="inlineStr">
        <is>
          <t>SI</t>
        </is>
      </c>
      <c r="F136" s="33" t="inlineStr">
        <is>
          <t>SI</t>
        </is>
      </c>
      <c r="G136" s="34" t="inlineStr">
        <is>
          <t>Reinicio Pendiente</t>
        </is>
      </c>
      <c r="H136" s="23" t="inlineStr">
        <is>
          <t>Oracle Linux</t>
        </is>
      </c>
    </row>
    <row r="137">
      <c r="A137" s="27" t="inlineStr">
        <is>
          <t>HSPEICS.82</t>
        </is>
      </c>
      <c r="B137" s="28" t="inlineStr">
        <is>
          <t>Produccion</t>
        </is>
      </c>
      <c r="C137" s="27" t="inlineStr">
        <is>
          <t>No Alcanzable / Error</t>
        </is>
      </c>
      <c r="D137" s="27" t="inlineStr">
        <is>
          <t>-</t>
        </is>
      </c>
      <c r="E137" s="29" t="inlineStr">
        <is>
          <t>NO</t>
        </is>
      </c>
      <c r="F137" s="29" t="inlineStr">
        <is>
          <t>NO</t>
        </is>
      </c>
      <c r="G137" s="30" t="inlineStr">
        <is>
          <t>No Alcanzable / Error</t>
        </is>
      </c>
      <c r="H137" s="27" t="inlineStr">
        <is>
          <t>No Alcanzable / Error Conexión</t>
        </is>
      </c>
    </row>
    <row r="138">
      <c r="A138" s="23" t="inlineStr">
        <is>
          <t>HSPEIDB01.82</t>
        </is>
      </c>
      <c r="B138" s="24" t="inlineStr">
        <is>
          <t>Produccion</t>
        </is>
      </c>
      <c r="C138" s="23" t="inlineStr">
        <is>
          <t>No Alcanzable / Error</t>
        </is>
      </c>
      <c r="D138" s="23" t="inlineStr">
        <is>
          <t>-</t>
        </is>
      </c>
      <c r="E138" s="25" t="inlineStr">
        <is>
          <t>NO</t>
        </is>
      </c>
      <c r="F138" s="25" t="inlineStr">
        <is>
          <t>NO</t>
        </is>
      </c>
      <c r="G138" s="30" t="inlineStr">
        <is>
          <t>No Alcanzable / Error</t>
        </is>
      </c>
      <c r="H138" s="23" t="inlineStr">
        <is>
          <t>No Alcanzable / Error Conexión</t>
        </is>
      </c>
    </row>
    <row r="139">
      <c r="A139" s="27" t="inlineStr">
        <is>
          <t>HSPEIGP01</t>
        </is>
      </c>
      <c r="B139" s="28" t="inlineStr">
        <is>
          <t>Produccion</t>
        </is>
      </c>
      <c r="C139" s="27" t="inlineStr">
        <is>
          <t>No Alcanzable / Error</t>
        </is>
      </c>
      <c r="D139" s="27" t="inlineStr">
        <is>
          <t>-</t>
        </is>
      </c>
      <c r="E139" s="29" t="inlineStr">
        <is>
          <t>NO</t>
        </is>
      </c>
      <c r="F139" s="29" t="inlineStr">
        <is>
          <t>NO</t>
        </is>
      </c>
      <c r="G139" s="30" t="inlineStr">
        <is>
          <t>No Alcanzable / Error</t>
        </is>
      </c>
      <c r="H139" s="27" t="inlineStr">
        <is>
          <t>No Alcanzable / Error Conexión</t>
        </is>
      </c>
    </row>
    <row r="140">
      <c r="A140" s="23" t="inlineStr">
        <is>
          <t>HSPEIXERO01.82</t>
        </is>
      </c>
      <c r="B140" s="24" t="inlineStr">
        <is>
          <t>Produccion</t>
        </is>
      </c>
      <c r="C140" s="23" t="inlineStr">
        <is>
          <t>No Alcanzable / Error</t>
        </is>
      </c>
      <c r="D140" s="23" t="inlineStr">
        <is>
          <t>-</t>
        </is>
      </c>
      <c r="E140" s="25" t="inlineStr">
        <is>
          <t>NO</t>
        </is>
      </c>
      <c r="F140" s="25" t="inlineStr">
        <is>
          <t>NO</t>
        </is>
      </c>
      <c r="G140" s="30" t="inlineStr">
        <is>
          <t>No Alcanzable / Error</t>
        </is>
      </c>
      <c r="H140" s="23" t="inlineStr">
        <is>
          <t>No Alcanzable / Error Conexión</t>
        </is>
      </c>
    </row>
    <row r="141">
      <c r="A141" s="27" t="inlineStr">
        <is>
          <t>HSPEIXERO02.82</t>
        </is>
      </c>
      <c r="B141" s="28" t="inlineStr">
        <is>
          <t>Produccion</t>
        </is>
      </c>
      <c r="C141" s="27" t="inlineStr">
        <is>
          <t>OracleLinux 8.7</t>
        </is>
      </c>
      <c r="D141" s="27" t="inlineStr">
        <is>
          <t>5.15.0-3.60.5.1.el8uek.x86_64</t>
        </is>
      </c>
      <c r="E141" s="29" t="inlineStr">
        <is>
          <t>NO</t>
        </is>
      </c>
      <c r="F141" s="33" t="inlineStr">
        <is>
          <t>SI</t>
        </is>
      </c>
      <c r="G141" s="34" t="inlineStr">
        <is>
          <t>Reinicio Pendiente</t>
        </is>
      </c>
      <c r="H141" s="27" t="inlineStr">
        <is>
          <t>Oracle Linux</t>
        </is>
      </c>
    </row>
    <row r="142">
      <c r="A142" s="23" t="inlineStr">
        <is>
          <t>CODIASSHSP</t>
        </is>
      </c>
      <c r="B142" s="24" t="inlineStr">
        <is>
          <t>Produccion</t>
        </is>
      </c>
      <c r="C142" s="23" t="inlineStr">
        <is>
          <t>Debian 12.7</t>
        </is>
      </c>
      <c r="D142" s="23" t="inlineStr">
        <is>
          <t>6.1.0-25-amd64</t>
        </is>
      </c>
      <c r="E142" s="25" t="inlineStr">
        <is>
          <t>NO</t>
        </is>
      </c>
      <c r="F142" s="25" t="inlineStr">
        <is>
          <t>NO</t>
        </is>
      </c>
      <c r="G142" s="26" t="inlineStr">
        <is>
          <t>Al Día</t>
        </is>
      </c>
      <c r="H142" s="23" t="inlineStr">
        <is>
          <t>Debian GNU/Linux</t>
        </is>
      </c>
    </row>
    <row r="143">
      <c r="A143" s="27" t="inlineStr">
        <is>
          <t>CODIASSHSP02</t>
        </is>
      </c>
      <c r="B143" s="28" t="inlineStr">
        <is>
          <t>Produccion</t>
        </is>
      </c>
      <c r="C143" s="27" t="inlineStr">
        <is>
          <t>Debian 12</t>
        </is>
      </c>
      <c r="D143" s="27" t="inlineStr">
        <is>
          <t>6.1.0-25-amd64</t>
        </is>
      </c>
      <c r="E143" s="29" t="inlineStr">
        <is>
          <t>NO</t>
        </is>
      </c>
      <c r="F143" s="29" t="inlineStr">
        <is>
          <t>NO</t>
        </is>
      </c>
      <c r="G143" s="26" t="inlineStr">
        <is>
          <t>Al Día</t>
        </is>
      </c>
      <c r="H143" s="27" t="inlineStr">
        <is>
          <t>Debian GNU/Linux</t>
        </is>
      </c>
    </row>
    <row r="144">
      <c r="A144" s="23" t="inlineStr">
        <is>
          <t>IRWEBDB01</t>
        </is>
      </c>
      <c r="B144" s="24" t="inlineStr">
        <is>
          <t>Produccion</t>
        </is>
      </c>
      <c r="C144" s="23" t="inlineStr">
        <is>
          <t>Debian 12</t>
        </is>
      </c>
      <c r="D144" s="23" t="inlineStr">
        <is>
          <t>6.1.0-18-amd64</t>
        </is>
      </c>
      <c r="E144" s="25" t="inlineStr">
        <is>
          <t>NO</t>
        </is>
      </c>
      <c r="F144" s="33" t="inlineStr">
        <is>
          <t>SI</t>
        </is>
      </c>
      <c r="G144" s="34" t="inlineStr">
        <is>
          <t>Reinicio Pendiente</t>
        </is>
      </c>
      <c r="H144" s="23" t="inlineStr">
        <is>
          <t>Debian GNU/Linux</t>
        </is>
      </c>
    </row>
    <row r="145">
      <c r="A145" s="27" t="inlineStr">
        <is>
          <t>IRWEBFRONT01</t>
        </is>
      </c>
      <c r="B145" s="28" t="inlineStr">
        <is>
          <t>Produccion</t>
        </is>
      </c>
      <c r="C145" s="27" t="inlineStr">
        <is>
          <t>Debian 12.15</t>
        </is>
      </c>
      <c r="D145" s="27" t="inlineStr">
        <is>
          <t>6.1.0-18-amd64</t>
        </is>
      </c>
      <c r="E145" s="29" t="inlineStr">
        <is>
          <t>NO</t>
        </is>
      </c>
      <c r="F145" s="33" t="inlineStr">
        <is>
          <t>SI</t>
        </is>
      </c>
      <c r="G145" s="34" t="inlineStr">
        <is>
          <t>Reinicio Pendiente</t>
        </is>
      </c>
      <c r="H145" s="27" t="inlineStr">
        <is>
          <t>Debian GNU/Linux</t>
        </is>
      </c>
    </row>
    <row r="146">
      <c r="A146" s="23" t="inlineStr">
        <is>
          <t>ANSIBLE01</t>
        </is>
      </c>
      <c r="B146" s="24" t="inlineStr">
        <is>
          <t>Produccion</t>
        </is>
      </c>
      <c r="C146" s="23" t="inlineStr">
        <is>
          <t>Rocky 9.7</t>
        </is>
      </c>
      <c r="D146" s="23" t="inlineStr">
        <is>
          <t>5.14.0-611.36.1.el9_7.x86_64</t>
        </is>
      </c>
      <c r="E146" s="25" t="inlineStr">
        <is>
          <t>NO</t>
        </is>
      </c>
      <c r="F146" s="25" t="inlineStr">
        <is>
          <t>NO</t>
        </is>
      </c>
      <c r="G146" s="26" t="inlineStr">
        <is>
          <t>Al Día</t>
        </is>
      </c>
      <c r="H146" s="23" t="inlineStr">
        <is>
          <t>Rocky Linux</t>
        </is>
      </c>
    </row>
    <row r="147">
      <c r="A147" s="27" t="inlineStr">
        <is>
          <t>FOREMAN01</t>
        </is>
      </c>
      <c r="B147" s="28" t="inlineStr">
        <is>
          <t>Produccion</t>
        </is>
      </c>
      <c r="C147" s="27" t="inlineStr">
        <is>
          <t>Rocky 9.5</t>
        </is>
      </c>
      <c r="D147" s="27" t="inlineStr">
        <is>
          <t>5.14.0-427.42.1.el9_4.x86_64</t>
        </is>
      </c>
      <c r="E147" s="29" t="inlineStr">
        <is>
          <t>NO</t>
        </is>
      </c>
      <c r="F147" s="29" t="inlineStr">
        <is>
          <t>NO</t>
        </is>
      </c>
      <c r="G147" s="26" t="inlineStr">
        <is>
          <t>Al Día</t>
        </is>
      </c>
      <c r="H147" s="27" t="inlineStr">
        <is>
          <t>Rocky Linux</t>
        </is>
      </c>
    </row>
    <row r="148">
      <c r="A148" s="23" t="inlineStr">
        <is>
          <t>QUENDAANBLICK02</t>
        </is>
      </c>
      <c r="B148" s="24" t="inlineStr">
        <is>
          <t>Produccion</t>
        </is>
      </c>
      <c r="C148" s="23" t="inlineStr">
        <is>
          <t>No Alcanzable / Error</t>
        </is>
      </c>
      <c r="D148" s="23" t="inlineStr">
        <is>
          <t>-</t>
        </is>
      </c>
      <c r="E148" s="25" t="inlineStr">
        <is>
          <t>NO</t>
        </is>
      </c>
      <c r="F148" s="25" t="inlineStr">
        <is>
          <t>NO</t>
        </is>
      </c>
      <c r="G148" s="30" t="inlineStr">
        <is>
          <t>No Alcanzable / Error</t>
        </is>
      </c>
      <c r="H148" s="23" t="inlineStr">
        <is>
          <t>No Alcanzable / Error Conexión</t>
        </is>
      </c>
    </row>
    <row r="149">
      <c r="A149" s="27" t="inlineStr">
        <is>
          <t>ACUNTIA03</t>
        </is>
      </c>
      <c r="B149" s="28" t="inlineStr">
        <is>
          <t>Produccion</t>
        </is>
      </c>
      <c r="C149" s="27" t="inlineStr">
        <is>
          <t>No Alcanzable / Error</t>
        </is>
      </c>
      <c r="D149" s="27" t="inlineStr">
        <is>
          <t>-</t>
        </is>
      </c>
      <c r="E149" s="29" t="inlineStr">
        <is>
          <t>NO</t>
        </is>
      </c>
      <c r="F149" s="29" t="inlineStr">
        <is>
          <t>NO</t>
        </is>
      </c>
      <c r="G149" s="30" t="inlineStr">
        <is>
          <t>No Alcanzable / Error</t>
        </is>
      </c>
      <c r="H149" s="27" t="inlineStr">
        <is>
          <t>No Alcanzable / Error Conexión</t>
        </is>
      </c>
    </row>
    <row r="150">
      <c r="A150" s="23" t="inlineStr">
        <is>
          <t>AWSGATEWAY</t>
        </is>
      </c>
      <c r="B150" s="24" t="inlineStr">
        <is>
          <t>Produccion</t>
        </is>
      </c>
      <c r="C150" s="23" t="inlineStr">
        <is>
          <t>No Alcanzable / Error</t>
        </is>
      </c>
      <c r="D150" s="23" t="inlineStr">
        <is>
          <t>-</t>
        </is>
      </c>
      <c r="E150" s="25" t="inlineStr">
        <is>
          <t>NO</t>
        </is>
      </c>
      <c r="F150" s="25" t="inlineStr">
        <is>
          <t>NO</t>
        </is>
      </c>
      <c r="G150" s="30" t="inlineStr">
        <is>
          <t>No Alcanzable / Error</t>
        </is>
      </c>
      <c r="H150" s="23" t="inlineStr">
        <is>
          <t>No Alcanzable / Error Conexión</t>
        </is>
      </c>
    </row>
    <row r="151">
      <c r="A151" s="27" t="inlineStr">
        <is>
          <t>Auckland</t>
        </is>
      </c>
      <c r="B151" s="28" t="inlineStr">
        <is>
          <t>Produccion</t>
        </is>
      </c>
      <c r="C151" s="27" t="inlineStr">
        <is>
          <t>No Alcanzable / Error</t>
        </is>
      </c>
      <c r="D151" s="27" t="inlineStr">
        <is>
          <t>-</t>
        </is>
      </c>
      <c r="E151" s="29" t="inlineStr">
        <is>
          <t>NO</t>
        </is>
      </c>
      <c r="F151" s="29" t="inlineStr">
        <is>
          <t>NO</t>
        </is>
      </c>
      <c r="G151" s="30" t="inlineStr">
        <is>
          <t>No Alcanzable / Error</t>
        </is>
      </c>
      <c r="H151" s="27" t="inlineStr">
        <is>
          <t>No Alcanzable / Error Conexión</t>
        </is>
      </c>
    </row>
    <row r="152">
      <c r="A152" s="23" t="inlineStr">
        <is>
          <t>Barcelones</t>
        </is>
      </c>
      <c r="B152" s="24" t="inlineStr">
        <is>
          <t>Produccion</t>
        </is>
      </c>
      <c r="C152" s="23" t="inlineStr">
        <is>
          <t>No Alcanzable / Error</t>
        </is>
      </c>
      <c r="D152" s="23" t="inlineStr">
        <is>
          <t>-</t>
        </is>
      </c>
      <c r="E152" s="25" t="inlineStr">
        <is>
          <t>NO</t>
        </is>
      </c>
      <c r="F152" s="25" t="inlineStr">
        <is>
          <t>NO</t>
        </is>
      </c>
      <c r="G152" s="30" t="inlineStr">
        <is>
          <t>No Alcanzable / Error</t>
        </is>
      </c>
      <c r="H152" s="23" t="inlineStr">
        <is>
          <t>No Alcanzable / Error Conexión</t>
        </is>
      </c>
    </row>
    <row r="153">
      <c r="A153" s="27" t="inlineStr">
        <is>
          <t>CRD02</t>
        </is>
      </c>
      <c r="B153" s="28" t="inlineStr">
        <is>
          <t>Produccion</t>
        </is>
      </c>
      <c r="C153" s="27" t="inlineStr">
        <is>
          <t>openSUSE 13.2</t>
        </is>
      </c>
      <c r="D153" s="27" t="inlineStr">
        <is>
          <t>3.16.6-2-desktop</t>
        </is>
      </c>
      <c r="E153" s="29" t="inlineStr">
        <is>
          <t>NO</t>
        </is>
      </c>
      <c r="F153" s="29" t="inlineStr">
        <is>
          <t>NO</t>
        </is>
      </c>
      <c r="G153" s="26" t="inlineStr">
        <is>
          <t>Al Día</t>
        </is>
      </c>
      <c r="H153" s="27" t="inlineStr">
        <is>
          <t>SUSE Linux Enterprise (SLES)</t>
        </is>
      </c>
    </row>
    <row r="154">
      <c r="A154" s="23" t="inlineStr">
        <is>
          <t>ENIGMA01</t>
        </is>
      </c>
      <c r="B154" s="24" t="inlineStr">
        <is>
          <t>Produccion</t>
        </is>
      </c>
      <c r="C154" s="23" t="inlineStr">
        <is>
          <t>Debian 10</t>
        </is>
      </c>
      <c r="D154" s="23" t="inlineStr">
        <is>
          <t>4.19.0-9-amd64</t>
        </is>
      </c>
      <c r="E154" s="25" t="inlineStr">
        <is>
          <t>NO</t>
        </is>
      </c>
      <c r="F154" s="25" t="inlineStr">
        <is>
          <t>NO</t>
        </is>
      </c>
      <c r="G154" s="26" t="inlineStr">
        <is>
          <t>Al Día</t>
        </is>
      </c>
      <c r="H154" s="23" t="inlineStr">
        <is>
          <t>Debian GNU/Linux</t>
        </is>
      </c>
    </row>
    <row r="155">
      <c r="A155" s="27" t="inlineStr">
        <is>
          <t>ENIGMA01_restore</t>
        </is>
      </c>
      <c r="B155" s="28" t="inlineStr">
        <is>
          <t>Produccion</t>
        </is>
      </c>
      <c r="C155" s="27" t="inlineStr">
        <is>
          <t>No Alcanzable / Error</t>
        </is>
      </c>
      <c r="D155" s="27" t="inlineStr">
        <is>
          <t>-</t>
        </is>
      </c>
      <c r="E155" s="29" t="inlineStr">
        <is>
          <t>NO</t>
        </is>
      </c>
      <c r="F155" s="29" t="inlineStr">
        <is>
          <t>NO</t>
        </is>
      </c>
      <c r="G155" s="30" t="inlineStr">
        <is>
          <t>No Alcanzable / Error</t>
        </is>
      </c>
      <c r="H155" s="27" t="inlineStr">
        <is>
          <t>No Alcanzable / Error Conexión</t>
        </is>
      </c>
    </row>
    <row r="156">
      <c r="A156" s="23" t="inlineStr">
        <is>
          <t>ESTIMTRACK01</t>
        </is>
      </c>
      <c r="B156" s="24" t="inlineStr">
        <is>
          <t>Produccion</t>
        </is>
      </c>
      <c r="C156" s="23" t="inlineStr">
        <is>
          <t>CentOS 7.9</t>
        </is>
      </c>
      <c r="D156" s="23" t="inlineStr">
        <is>
          <t>3.10.0-1160.59.1.el7.x86_64</t>
        </is>
      </c>
      <c r="E156" s="25" t="inlineStr">
        <is>
          <t>NO</t>
        </is>
      </c>
      <c r="F156" s="25" t="inlineStr">
        <is>
          <t>NO</t>
        </is>
      </c>
      <c r="G156" s="26" t="inlineStr">
        <is>
          <t>Al Día</t>
        </is>
      </c>
      <c r="H156" s="23" t="inlineStr">
        <is>
          <t>CentOS Linux</t>
        </is>
      </c>
    </row>
    <row r="157">
      <c r="A157" s="27" t="inlineStr">
        <is>
          <t>GESTPRJ01</t>
        </is>
      </c>
      <c r="B157" s="28" t="inlineStr">
        <is>
          <t>Produccion</t>
        </is>
      </c>
      <c r="C157" s="27" t="inlineStr">
        <is>
          <t>RedHat 7.2</t>
        </is>
      </c>
      <c r="D157" s="27" t="inlineStr">
        <is>
          <t>3.10.0-327.el7.x86_64</t>
        </is>
      </c>
      <c r="E157" s="29" t="inlineStr">
        <is>
          <t>NO</t>
        </is>
      </c>
      <c r="F157" s="29" t="inlineStr">
        <is>
          <t>NO</t>
        </is>
      </c>
      <c r="G157" s="26" t="inlineStr">
        <is>
          <t>Al Día</t>
        </is>
      </c>
      <c r="H157" s="27" t="inlineStr">
        <is>
          <t>Red Hat Enterprise Linux</t>
        </is>
      </c>
    </row>
    <row r="158">
      <c r="A158" s="23" t="inlineStr">
        <is>
          <t>GWP03</t>
        </is>
      </c>
      <c r="B158" s="24" t="inlineStr">
        <is>
          <t>Produccion</t>
        </is>
      </c>
      <c r="C158" s="23" t="inlineStr">
        <is>
          <t>No Alcanzable / Error</t>
        </is>
      </c>
      <c r="D158" s="23" t="inlineStr">
        <is>
          <t>-</t>
        </is>
      </c>
      <c r="E158" s="25" t="inlineStr">
        <is>
          <t>NO</t>
        </is>
      </c>
      <c r="F158" s="25" t="inlineStr">
        <is>
          <t>NO</t>
        </is>
      </c>
      <c r="G158" s="30" t="inlineStr">
        <is>
          <t>No Alcanzable / Error</t>
        </is>
      </c>
      <c r="H158" s="23" t="inlineStr">
        <is>
          <t>No Alcanzable / Error Conexión</t>
        </is>
      </c>
    </row>
    <row r="159">
      <c r="A159" s="27" t="inlineStr">
        <is>
          <t>GestionLogs</t>
        </is>
      </c>
      <c r="B159" s="28" t="inlineStr">
        <is>
          <t>Produccion</t>
        </is>
      </c>
      <c r="C159" s="27" t="inlineStr">
        <is>
          <t>SLES 11 SP1</t>
        </is>
      </c>
      <c r="D159" s="27" t="inlineStr">
        <is>
          <t>2.6.32.59-0.7-default</t>
        </is>
      </c>
      <c r="E159" s="29" t="inlineStr">
        <is>
          <t>NO</t>
        </is>
      </c>
      <c r="F159" s="29" t="inlineStr">
        <is>
          <t>NO</t>
        </is>
      </c>
      <c r="G159" s="26" t="inlineStr">
        <is>
          <t>Al Día</t>
        </is>
      </c>
      <c r="H159" s="27" t="inlineStr">
        <is>
          <t>SUSE Linux Enterprise (SLES)</t>
        </is>
      </c>
    </row>
    <row r="160">
      <c r="A160" s="23" t="inlineStr">
        <is>
          <t>HSPEICONNECT01</t>
        </is>
      </c>
      <c r="B160" s="24" t="inlineStr">
        <is>
          <t>Produccion</t>
        </is>
      </c>
      <c r="C160" s="23" t="inlineStr">
        <is>
          <t>No Alcanzable / Error</t>
        </is>
      </c>
      <c r="D160" s="23" t="inlineStr">
        <is>
          <t>-</t>
        </is>
      </c>
      <c r="E160" s="25" t="inlineStr">
        <is>
          <t>NO</t>
        </is>
      </c>
      <c r="F160" s="25" t="inlineStr">
        <is>
          <t>NO</t>
        </is>
      </c>
      <c r="G160" s="30" t="inlineStr">
        <is>
          <t>No Alcanzable / Error</t>
        </is>
      </c>
      <c r="H160" s="23" t="inlineStr">
        <is>
          <t>No Alcanzable / Error Conexión</t>
        </is>
      </c>
    </row>
    <row r="161">
      <c r="A161" s="27" t="inlineStr">
        <is>
          <t>HSPEIGIT01</t>
        </is>
      </c>
      <c r="B161" s="28" t="inlineStr">
        <is>
          <t>Produccion</t>
        </is>
      </c>
      <c r="C161" s="27" t="inlineStr">
        <is>
          <t>No Alcanzable / Error</t>
        </is>
      </c>
      <c r="D161" s="27" t="inlineStr">
        <is>
          <t>-</t>
        </is>
      </c>
      <c r="E161" s="29" t="inlineStr">
        <is>
          <t>NO</t>
        </is>
      </c>
      <c r="F161" s="29" t="inlineStr">
        <is>
          <t>NO</t>
        </is>
      </c>
      <c r="G161" s="30" t="inlineStr">
        <is>
          <t>No Alcanzable / Error</t>
        </is>
      </c>
      <c r="H161" s="27" t="inlineStr">
        <is>
          <t>No Alcanzable / Error Conexión</t>
        </is>
      </c>
    </row>
    <row r="162">
      <c r="A162" s="23" t="inlineStr">
        <is>
          <t>Intranet01</t>
        </is>
      </c>
      <c r="B162" s="24" t="inlineStr">
        <is>
          <t>Produccion</t>
        </is>
      </c>
      <c r="C162" s="23" t="inlineStr">
        <is>
          <t>No Alcanzable / Error</t>
        </is>
      </c>
      <c r="D162" s="23" t="inlineStr">
        <is>
          <t>-</t>
        </is>
      </c>
      <c r="E162" s="25" t="inlineStr">
        <is>
          <t>NO</t>
        </is>
      </c>
      <c r="F162" s="25" t="inlineStr">
        <is>
          <t>NO</t>
        </is>
      </c>
      <c r="G162" s="30" t="inlineStr">
        <is>
          <t>No Alcanzable / Error</t>
        </is>
      </c>
      <c r="H162" s="23" t="inlineStr">
        <is>
          <t>No Alcanzable / Error Conexión</t>
        </is>
      </c>
    </row>
    <row r="163">
      <c r="A163" s="27" t="inlineStr">
        <is>
          <t>Intranet02</t>
        </is>
      </c>
      <c r="B163" s="28" t="inlineStr">
        <is>
          <t>Produccion</t>
        </is>
      </c>
      <c r="C163" s="27" t="inlineStr">
        <is>
          <t>No Alcanzable / Error</t>
        </is>
      </c>
      <c r="D163" s="27" t="inlineStr">
        <is>
          <t>-</t>
        </is>
      </c>
      <c r="E163" s="29" t="inlineStr">
        <is>
          <t>NO</t>
        </is>
      </c>
      <c r="F163" s="29" t="inlineStr">
        <is>
          <t>NO</t>
        </is>
      </c>
      <c r="G163" s="30" t="inlineStr">
        <is>
          <t>No Alcanzable / Error</t>
        </is>
      </c>
      <c r="H163" s="27" t="inlineStr">
        <is>
          <t>No Alcanzable / Error Conexión</t>
        </is>
      </c>
    </row>
    <row r="164">
      <c r="A164" s="23" t="inlineStr">
        <is>
          <t>JUMPBOXEDR01</t>
        </is>
      </c>
      <c r="B164" s="24" t="inlineStr">
        <is>
          <t>Produccion</t>
        </is>
      </c>
      <c r="C164" s="23" t="inlineStr">
        <is>
          <t>CentOS 7.9</t>
        </is>
      </c>
      <c r="D164" s="23" t="inlineStr">
        <is>
          <t>3.10.0-1160.el7.x86_64</t>
        </is>
      </c>
      <c r="E164" s="25" t="inlineStr">
        <is>
          <t>NO</t>
        </is>
      </c>
      <c r="F164" s="25" t="inlineStr">
        <is>
          <t>NO</t>
        </is>
      </c>
      <c r="G164" s="26" t="inlineStr">
        <is>
          <t>Al Día</t>
        </is>
      </c>
      <c r="H164" s="23" t="inlineStr">
        <is>
          <t>CentOS Linux</t>
        </is>
      </c>
    </row>
    <row r="165">
      <c r="A165" s="27" t="inlineStr">
        <is>
          <t>NAGIOS01</t>
        </is>
      </c>
      <c r="B165" s="28" t="inlineStr">
        <is>
          <t>Produccion</t>
        </is>
      </c>
      <c r="C165" s="27" t="inlineStr">
        <is>
          <t>CentOS 7.6</t>
        </is>
      </c>
      <c r="D165" s="27" t="inlineStr">
        <is>
          <t>3.10.0-957.12.1.el7.x86_64</t>
        </is>
      </c>
      <c r="E165" s="29" t="inlineStr">
        <is>
          <t>NO</t>
        </is>
      </c>
      <c r="F165" s="29" t="inlineStr">
        <is>
          <t>NO</t>
        </is>
      </c>
      <c r="G165" s="26" t="inlineStr">
        <is>
          <t>Al Día</t>
        </is>
      </c>
      <c r="H165" s="27" t="inlineStr">
        <is>
          <t>CentOS Linux</t>
        </is>
      </c>
    </row>
    <row r="166">
      <c r="A166" s="23" t="inlineStr">
        <is>
          <t>PATRIMONI</t>
        </is>
      </c>
      <c r="B166" s="24" t="inlineStr">
        <is>
          <t>Produccion</t>
        </is>
      </c>
      <c r="C166" s="23" t="inlineStr">
        <is>
          <t>No Alcanzable / Error</t>
        </is>
      </c>
      <c r="D166" s="23" t="inlineStr">
        <is>
          <t>-</t>
        </is>
      </c>
      <c r="E166" s="25" t="inlineStr">
        <is>
          <t>NO</t>
        </is>
      </c>
      <c r="F166" s="25" t="inlineStr">
        <is>
          <t>NO</t>
        </is>
      </c>
      <c r="G166" s="30" t="inlineStr">
        <is>
          <t>No Alcanzable / Error</t>
        </is>
      </c>
      <c r="H166" s="23" t="inlineStr">
        <is>
          <t>No Alcanzable / Error Conexión</t>
        </is>
      </c>
    </row>
    <row r="167">
      <c r="A167" s="27" t="inlineStr">
        <is>
          <t>PETITSACASA01</t>
        </is>
      </c>
      <c r="B167" s="28" t="inlineStr">
        <is>
          <t>Produccion</t>
        </is>
      </c>
      <c r="C167" s="27" t="inlineStr">
        <is>
          <t>SLES 11 SP1</t>
        </is>
      </c>
      <c r="D167" s="27" t="inlineStr">
        <is>
          <t>2.6.32.59-0.7-default</t>
        </is>
      </c>
      <c r="E167" s="29" t="inlineStr">
        <is>
          <t>NO</t>
        </is>
      </c>
      <c r="F167" s="29" t="inlineStr">
        <is>
          <t>NO</t>
        </is>
      </c>
      <c r="G167" s="26" t="inlineStr">
        <is>
          <t>Al Día</t>
        </is>
      </c>
      <c r="H167" s="27" t="inlineStr">
        <is>
          <t>SUSE Linux Enterprise (SLES)</t>
        </is>
      </c>
    </row>
    <row r="168">
      <c r="A168" s="23" t="inlineStr">
        <is>
          <t>PETITSACASA02</t>
        </is>
      </c>
      <c r="B168" s="24" t="inlineStr">
        <is>
          <t>Produccion</t>
        </is>
      </c>
      <c r="C168" s="23" t="inlineStr">
        <is>
          <t>SLES 11 SP1</t>
        </is>
      </c>
      <c r="D168" s="23" t="inlineStr">
        <is>
          <t>2.6.32.12-0.7-default</t>
        </is>
      </c>
      <c r="E168" s="25" t="inlineStr">
        <is>
          <t>NO</t>
        </is>
      </c>
      <c r="F168" s="25" t="inlineStr">
        <is>
          <t>NO</t>
        </is>
      </c>
      <c r="G168" s="26" t="inlineStr">
        <is>
          <t>Al Día</t>
        </is>
      </c>
      <c r="H168" s="23" t="inlineStr">
        <is>
          <t>SUSE Linux Enterprise (SLES)</t>
        </is>
      </c>
    </row>
    <row r="169">
      <c r="A169" s="27" t="inlineStr">
        <is>
          <t>PYXIS01</t>
        </is>
      </c>
      <c r="B169" s="28" t="inlineStr">
        <is>
          <t>Produccion</t>
        </is>
      </c>
      <c r="C169" s="27" t="inlineStr">
        <is>
          <t>No Alcanzable / Error</t>
        </is>
      </c>
      <c r="D169" s="27" t="inlineStr">
        <is>
          <t>-</t>
        </is>
      </c>
      <c r="E169" s="29" t="inlineStr">
        <is>
          <t>NO</t>
        </is>
      </c>
      <c r="F169" s="29" t="inlineStr">
        <is>
          <t>NO</t>
        </is>
      </c>
      <c r="G169" s="30" t="inlineStr">
        <is>
          <t>No Alcanzable / Error</t>
        </is>
      </c>
      <c r="H169" s="27" t="inlineStr">
        <is>
          <t>No Alcanzable / Error Conexión</t>
        </is>
      </c>
    </row>
    <row r="170">
      <c r="A170" s="23" t="inlineStr">
        <is>
          <t>PYXISGR01</t>
        </is>
      </c>
      <c r="B170" s="24" t="inlineStr">
        <is>
          <t>Produccion</t>
        </is>
      </c>
      <c r="C170" s="23" t="inlineStr">
        <is>
          <t>CentOS 7.7</t>
        </is>
      </c>
      <c r="D170" s="23" t="inlineStr">
        <is>
          <t>3.10.0-1062.1.2.el7.x86_64</t>
        </is>
      </c>
      <c r="E170" s="31" t="inlineStr">
        <is>
          <t>SI</t>
        </is>
      </c>
      <c r="F170" s="25" t="inlineStr">
        <is>
          <t>NO</t>
        </is>
      </c>
      <c r="G170" s="32" t="inlineStr">
        <is>
          <t>Parche Disponible</t>
        </is>
      </c>
      <c r="H170" s="23" t="inlineStr">
        <is>
          <t>CentOS Linux</t>
        </is>
      </c>
    </row>
    <row r="171">
      <c r="A171" s="27" t="inlineStr">
        <is>
          <t>QUENDAANBLICK</t>
        </is>
      </c>
      <c r="B171" s="28" t="inlineStr">
        <is>
          <t>Produccion</t>
        </is>
      </c>
      <c r="C171" s="27" t="inlineStr">
        <is>
          <t>CentOS 7.8</t>
        </is>
      </c>
      <c r="D171" s="27" t="inlineStr">
        <is>
          <t>3.10.0-1127.13.1.el7.x86_64</t>
        </is>
      </c>
      <c r="E171" s="29" t="inlineStr">
        <is>
          <t>NO</t>
        </is>
      </c>
      <c r="F171" s="29" t="inlineStr">
        <is>
          <t>NO</t>
        </is>
      </c>
      <c r="G171" s="26" t="inlineStr">
        <is>
          <t>Al Día</t>
        </is>
      </c>
      <c r="H171" s="27" t="inlineStr">
        <is>
          <t>CentOS Linux</t>
        </is>
      </c>
    </row>
    <row r="172">
      <c r="A172" s="23" t="inlineStr">
        <is>
          <t>SMOVIL03</t>
        </is>
      </c>
      <c r="B172" s="24" t="inlineStr">
        <is>
          <t>Produccion</t>
        </is>
      </c>
      <c r="C172" s="23" t="inlineStr">
        <is>
          <t>Debian 8</t>
        </is>
      </c>
      <c r="D172" s="23" t="inlineStr">
        <is>
          <t>3.16.0-4-686-pae</t>
        </is>
      </c>
      <c r="E172" s="25" t="inlineStr">
        <is>
          <t>NO</t>
        </is>
      </c>
      <c r="F172" s="25" t="inlineStr">
        <is>
          <t>NO</t>
        </is>
      </c>
      <c r="G172" s="26" t="inlineStr">
        <is>
          <t>Al Día</t>
        </is>
      </c>
      <c r="H172" s="23" t="inlineStr">
        <is>
          <t>Debian GNU/Linux</t>
        </is>
      </c>
    </row>
    <row r="173">
      <c r="A173" s="27" t="inlineStr">
        <is>
          <t>SSM01</t>
        </is>
      </c>
      <c r="B173" s="28" t="inlineStr">
        <is>
          <t>Produccion</t>
        </is>
      </c>
      <c r="C173" s="27" t="inlineStr">
        <is>
          <t>No Alcanzable / Error</t>
        </is>
      </c>
      <c r="D173" s="27" t="inlineStr">
        <is>
          <t>-</t>
        </is>
      </c>
      <c r="E173" s="29" t="inlineStr">
        <is>
          <t>NO</t>
        </is>
      </c>
      <c r="F173" s="29" t="inlineStr">
        <is>
          <t>NO</t>
        </is>
      </c>
      <c r="G173" s="30" t="inlineStr">
        <is>
          <t>No Alcanzable / Error</t>
        </is>
      </c>
      <c r="H173" s="27" t="inlineStr">
        <is>
          <t>No Alcanzable / Error Conexión</t>
        </is>
      </c>
    </row>
    <row r="174">
      <c r="A174" s="23" t="inlineStr">
        <is>
          <t>STOR2RRD01</t>
        </is>
      </c>
      <c r="B174" s="24" t="inlineStr">
        <is>
          <t>Produccion</t>
        </is>
      </c>
      <c r="C174" s="23" t="inlineStr">
        <is>
          <t>CentOS 7.2</t>
        </is>
      </c>
      <c r="D174" s="23" t="inlineStr">
        <is>
          <t>3.10.0-327.36.3.el7.x86_64</t>
        </is>
      </c>
      <c r="E174" s="25" t="inlineStr">
        <is>
          <t>NO</t>
        </is>
      </c>
      <c r="F174" s="25" t="inlineStr">
        <is>
          <t>NO</t>
        </is>
      </c>
      <c r="G174" s="26" t="inlineStr">
        <is>
          <t>Al Día</t>
        </is>
      </c>
      <c r="H174" s="23" t="inlineStr">
        <is>
          <t>CentOS Linux</t>
        </is>
      </c>
    </row>
    <row r="175">
      <c r="A175" s="27" t="inlineStr">
        <is>
          <t>TARIF04</t>
        </is>
      </c>
      <c r="B175" s="28" t="inlineStr">
        <is>
          <t>Produccion</t>
        </is>
      </c>
      <c r="C175" s="27" t="inlineStr">
        <is>
          <t>CentOS 7.9</t>
        </is>
      </c>
      <c r="D175" s="27" t="inlineStr">
        <is>
          <t>3.10.0-1160.88.1.el7.x86_64</t>
        </is>
      </c>
      <c r="E175" s="29" t="inlineStr">
        <is>
          <t>NO</t>
        </is>
      </c>
      <c r="F175" s="33" t="inlineStr">
        <is>
          <t>SI</t>
        </is>
      </c>
      <c r="G175" s="34" t="inlineStr">
        <is>
          <t>Reinicio Pendiente</t>
        </is>
      </c>
      <c r="H175" s="27" t="inlineStr">
        <is>
          <t>CentOS Linux</t>
        </is>
      </c>
    </row>
    <row r="176">
      <c r="A176" s="23" t="inlineStr">
        <is>
          <t>WEBHSP04</t>
        </is>
      </c>
      <c r="B176" s="24" t="inlineStr">
        <is>
          <t>Produccion</t>
        </is>
      </c>
      <c r="C176" s="23" t="inlineStr">
        <is>
          <t>SLES 15 SP1</t>
        </is>
      </c>
      <c r="D176" s="23" t="inlineStr">
        <is>
          <t>4.12.14-197.56-default</t>
        </is>
      </c>
      <c r="E176" s="31" t="inlineStr">
        <is>
          <t>SI</t>
        </is>
      </c>
      <c r="F176" s="25" t="inlineStr">
        <is>
          <t>NO</t>
        </is>
      </c>
      <c r="G176" s="32" t="inlineStr">
        <is>
          <t>Parche Disponible</t>
        </is>
      </c>
      <c r="H176" s="23" t="inlineStr">
        <is>
          <t>SUSE Linux Enterprise (SLES)</t>
        </is>
      </c>
    </row>
    <row r="177">
      <c r="A177" s="27" t="inlineStr">
        <is>
          <t>DWH01DES</t>
        </is>
      </c>
      <c r="B177" s="28" t="inlineStr">
        <is>
          <t>Desarrollo</t>
        </is>
      </c>
      <c r="C177" s="27" t="inlineStr">
        <is>
          <t>SLES 15 SP4</t>
        </is>
      </c>
      <c r="D177" s="27" t="inlineStr">
        <is>
          <t>5.14.21-150400.24.33-default</t>
        </is>
      </c>
      <c r="E177" s="29" t="inlineStr">
        <is>
          <t>NO</t>
        </is>
      </c>
      <c r="F177" s="29" t="inlineStr">
        <is>
          <t>NO</t>
        </is>
      </c>
      <c r="G177" s="26" t="inlineStr">
        <is>
          <t>Al Día</t>
        </is>
      </c>
      <c r="H177" s="27" t="inlineStr">
        <is>
          <t>SUSE Linux Enterprise (SLES)</t>
        </is>
      </c>
    </row>
    <row r="178">
      <c r="A178" s="23" t="inlineStr">
        <is>
          <t>DWH02DES</t>
        </is>
      </c>
      <c r="B178" s="24" t="inlineStr">
        <is>
          <t>Desarrollo</t>
        </is>
      </c>
      <c r="C178" s="23" t="inlineStr">
        <is>
          <t>SLES 15 SP4</t>
        </is>
      </c>
      <c r="D178" s="23" t="inlineStr">
        <is>
          <t>5.14.21-150400.24.33-default</t>
        </is>
      </c>
      <c r="E178" s="25" t="inlineStr">
        <is>
          <t>NO</t>
        </is>
      </c>
      <c r="F178" s="25" t="inlineStr">
        <is>
          <t>NO</t>
        </is>
      </c>
      <c r="G178" s="26" t="inlineStr">
        <is>
          <t>Al Día</t>
        </is>
      </c>
      <c r="H178" s="23" t="inlineStr">
        <is>
          <t>SUSE Linux Enterprise (SLES)</t>
        </is>
      </c>
    </row>
    <row r="179">
      <c r="A179" s="27" t="inlineStr">
        <is>
          <t>FAMAAFM02DES</t>
        </is>
      </c>
      <c r="B179" s="28" t="inlineStr">
        <is>
          <t>Desarrollo</t>
        </is>
      </c>
      <c r="C179" s="27" t="inlineStr">
        <is>
          <t>SLES 15 SP4</t>
        </is>
      </c>
      <c r="D179" s="27" t="inlineStr">
        <is>
          <t>5.14.21-150400.24.38-default</t>
        </is>
      </c>
      <c r="E179" s="29" t="inlineStr">
        <is>
          <t>NO</t>
        </is>
      </c>
      <c r="F179" s="29" t="inlineStr">
        <is>
          <t>NO</t>
        </is>
      </c>
      <c r="G179" s="26" t="inlineStr">
        <is>
          <t>Al Día</t>
        </is>
      </c>
      <c r="H179" s="27" t="inlineStr">
        <is>
          <t>SUSE Linux Enterprise (SLES)</t>
        </is>
      </c>
    </row>
    <row r="180">
      <c r="A180" s="23" t="inlineStr">
        <is>
          <t>GOTA04DES_restore</t>
        </is>
      </c>
      <c r="B180" s="24" t="inlineStr">
        <is>
          <t>Desarrollo</t>
        </is>
      </c>
      <c r="C180" s="23" t="inlineStr">
        <is>
          <t>SLES 15 SP3</t>
        </is>
      </c>
      <c r="D180" s="23" t="inlineStr">
        <is>
          <t>5.3.18-150300.59.49-default</t>
        </is>
      </c>
      <c r="E180" s="31" t="inlineStr">
        <is>
          <t>SI</t>
        </is>
      </c>
      <c r="F180" s="25" t="inlineStr">
        <is>
          <t>NO</t>
        </is>
      </c>
      <c r="G180" s="32" t="inlineStr">
        <is>
          <t>Parche Disponible</t>
        </is>
      </c>
      <c r="H180" s="23" t="inlineStr">
        <is>
          <t>SUSE Linux Enterprise (SLES)</t>
        </is>
      </c>
    </row>
    <row r="181">
      <c r="A181" s="27" t="inlineStr">
        <is>
          <t>INTRANETHSP03DES</t>
        </is>
      </c>
      <c r="B181" s="28" t="inlineStr">
        <is>
          <t>Desarrollo</t>
        </is>
      </c>
      <c r="C181" s="27" t="inlineStr">
        <is>
          <t>SLES 15 SP7</t>
        </is>
      </c>
      <c r="D181" s="27" t="inlineStr">
        <is>
          <t>6.4.0-150600.23.30-default</t>
        </is>
      </c>
      <c r="E181" s="31" t="inlineStr">
        <is>
          <t>SI</t>
        </is>
      </c>
      <c r="F181" s="29" t="inlineStr">
        <is>
          <t>NO</t>
        </is>
      </c>
      <c r="G181" s="32" t="inlineStr">
        <is>
          <t>Parche Disponible</t>
        </is>
      </c>
      <c r="H181" s="27" t="inlineStr">
        <is>
          <t>SUSE Linux Enterprise (SLES)</t>
        </is>
      </c>
    </row>
    <row r="182">
      <c r="A182" s="23" t="inlineStr">
        <is>
          <t>JIRAHSPBD-TEST</t>
        </is>
      </c>
      <c r="B182" s="24" t="inlineStr">
        <is>
          <t>Desarrollo</t>
        </is>
      </c>
      <c r="C182" s="23" t="inlineStr">
        <is>
          <t>SLES 15 SP4</t>
        </is>
      </c>
      <c r="D182" s="23" t="inlineStr">
        <is>
          <t>5.14.21-150400.24.100-default</t>
        </is>
      </c>
      <c r="E182" s="25" t="inlineStr">
        <is>
          <t>NO</t>
        </is>
      </c>
      <c r="F182" s="25" t="inlineStr">
        <is>
          <t>NO</t>
        </is>
      </c>
      <c r="G182" s="26" t="inlineStr">
        <is>
          <t>Al Día</t>
        </is>
      </c>
      <c r="H182" s="23" t="inlineStr">
        <is>
          <t>SUSE Linux Enterprise (SLES)</t>
        </is>
      </c>
    </row>
    <row r="183">
      <c r="A183" s="27" t="inlineStr">
        <is>
          <t>MONGODB01DES</t>
        </is>
      </c>
      <c r="B183" s="28" t="inlineStr">
        <is>
          <t>Desarrollo</t>
        </is>
      </c>
      <c r="C183" s="27" t="inlineStr">
        <is>
          <t>SLES 15 SP4</t>
        </is>
      </c>
      <c r="D183" s="27" t="inlineStr">
        <is>
          <t>5.14.21-150400.24.38-default</t>
        </is>
      </c>
      <c r="E183" s="29" t="inlineStr">
        <is>
          <t>NO</t>
        </is>
      </c>
      <c r="F183" s="29" t="inlineStr">
        <is>
          <t>NO</t>
        </is>
      </c>
      <c r="G183" s="26" t="inlineStr">
        <is>
          <t>Al Día</t>
        </is>
      </c>
      <c r="H183" s="27" t="inlineStr">
        <is>
          <t>SUSE Linux Enterprise (SLES)</t>
        </is>
      </c>
    </row>
    <row r="184">
      <c r="A184" s="23" t="inlineStr">
        <is>
          <t>MONGODB02DES</t>
        </is>
      </c>
      <c r="B184" s="24" t="inlineStr">
        <is>
          <t>Desarrollo</t>
        </is>
      </c>
      <c r="C184" s="23" t="inlineStr">
        <is>
          <t>SLES 15 SP4</t>
        </is>
      </c>
      <c r="D184" s="23" t="inlineStr">
        <is>
          <t>5.14.21-150400.24.38-default</t>
        </is>
      </c>
      <c r="E184" s="25" t="inlineStr">
        <is>
          <t>NO</t>
        </is>
      </c>
      <c r="F184" s="25" t="inlineStr">
        <is>
          <t>NO</t>
        </is>
      </c>
      <c r="G184" s="26" t="inlineStr">
        <is>
          <t>Al Día</t>
        </is>
      </c>
      <c r="H184" s="23" t="inlineStr">
        <is>
          <t>SUSE Linux Enterprise (SLES)</t>
        </is>
      </c>
    </row>
    <row r="185">
      <c r="A185" s="27" t="inlineStr">
        <is>
          <t>MONGODB03DES</t>
        </is>
      </c>
      <c r="B185" s="28" t="inlineStr">
        <is>
          <t>Desarrollo</t>
        </is>
      </c>
      <c r="C185" s="27" t="inlineStr">
        <is>
          <t>SLES 15 SP4</t>
        </is>
      </c>
      <c r="D185" s="27" t="inlineStr">
        <is>
          <t>5.14.21-150400.24.38-default</t>
        </is>
      </c>
      <c r="E185" s="29" t="inlineStr">
        <is>
          <t>NO</t>
        </is>
      </c>
      <c r="F185" s="29" t="inlineStr">
        <is>
          <t>NO</t>
        </is>
      </c>
      <c r="G185" s="26" t="inlineStr">
        <is>
          <t>Al Día</t>
        </is>
      </c>
      <c r="H185" s="27" t="inlineStr">
        <is>
          <t>SUSE Linux Enterprise (SLES)</t>
        </is>
      </c>
    </row>
    <row r="186">
      <c r="A186" s="23" t="inlineStr">
        <is>
          <t>MONGODB04DES</t>
        </is>
      </c>
      <c r="B186" s="24" t="inlineStr">
        <is>
          <t>Desarrollo</t>
        </is>
      </c>
      <c r="C186" s="23" t="inlineStr">
        <is>
          <t>SLES 15 SP4</t>
        </is>
      </c>
      <c r="D186" s="23" t="inlineStr">
        <is>
          <t>5.14.21-150400.24.38-default</t>
        </is>
      </c>
      <c r="E186" s="25" t="inlineStr">
        <is>
          <t>NO</t>
        </is>
      </c>
      <c r="F186" s="25" t="inlineStr">
        <is>
          <t>NO</t>
        </is>
      </c>
      <c r="G186" s="26" t="inlineStr">
        <is>
          <t>Al Día</t>
        </is>
      </c>
      <c r="H186" s="23" t="inlineStr">
        <is>
          <t>SUSE Linux Enterprise (SLES)</t>
        </is>
      </c>
    </row>
    <row r="187">
      <c r="A187" s="27" t="inlineStr">
        <is>
          <t>MONGODBDES</t>
        </is>
      </c>
      <c r="B187" s="28" t="inlineStr">
        <is>
          <t>Desarrollo</t>
        </is>
      </c>
      <c r="C187" s="27" t="inlineStr">
        <is>
          <t>SLES 15 SP4</t>
        </is>
      </c>
      <c r="D187" s="27" t="inlineStr">
        <is>
          <t>5.14.21-150400.24.38-default</t>
        </is>
      </c>
      <c r="E187" s="29" t="inlineStr">
        <is>
          <t>NO</t>
        </is>
      </c>
      <c r="F187" s="29" t="inlineStr">
        <is>
          <t>NO</t>
        </is>
      </c>
      <c r="G187" s="26" t="inlineStr">
        <is>
          <t>Al Día</t>
        </is>
      </c>
      <c r="H187" s="27" t="inlineStr">
        <is>
          <t>SUSE Linux Enterprise (SLES)</t>
        </is>
      </c>
    </row>
    <row r="188">
      <c r="A188" s="23" t="inlineStr">
        <is>
          <t>MOVISALUD01DES</t>
        </is>
      </c>
      <c r="B188" s="24" t="inlineStr">
        <is>
          <t>Desarrollo</t>
        </is>
      </c>
      <c r="C188" s="23" t="inlineStr">
        <is>
          <t>SLES 15 SP7</t>
        </is>
      </c>
      <c r="D188" s="23" t="inlineStr">
        <is>
          <t>6.4.0-150700.53.19-default</t>
        </is>
      </c>
      <c r="E188" s="31" t="inlineStr">
        <is>
          <t>SI</t>
        </is>
      </c>
      <c r="F188" s="25" t="inlineStr">
        <is>
          <t>NO</t>
        </is>
      </c>
      <c r="G188" s="32" t="inlineStr">
        <is>
          <t>Parche Disponible</t>
        </is>
      </c>
      <c r="H188" s="23" t="inlineStr">
        <is>
          <t>SUSE Linux Enterprise (SLES)</t>
        </is>
      </c>
    </row>
    <row r="189">
      <c r="A189" s="27" t="inlineStr">
        <is>
          <t>OMIQ01DES</t>
        </is>
      </c>
      <c r="B189" s="28" t="inlineStr">
        <is>
          <t>Desarrollo</t>
        </is>
      </c>
      <c r="C189" s="27" t="inlineStr">
        <is>
          <t>SLES 15 SP7</t>
        </is>
      </c>
      <c r="D189" s="27" t="inlineStr">
        <is>
          <t>6.4.0-150700.53.22-default</t>
        </is>
      </c>
      <c r="E189" s="31" t="inlineStr">
        <is>
          <t>SI</t>
        </is>
      </c>
      <c r="F189" s="29" t="inlineStr">
        <is>
          <t>NO</t>
        </is>
      </c>
      <c r="G189" s="32" t="inlineStr">
        <is>
          <t>Parche Disponible</t>
        </is>
      </c>
      <c r="H189" s="27" t="inlineStr">
        <is>
          <t>SUSE Linux Enterprise (SLES)</t>
        </is>
      </c>
    </row>
    <row r="190">
      <c r="A190" s="23" t="inlineStr">
        <is>
          <t>OMIQ01SQLDES</t>
        </is>
      </c>
      <c r="B190" s="24" t="inlineStr">
        <is>
          <t>Desarrollo</t>
        </is>
      </c>
      <c r="C190" s="23" t="inlineStr">
        <is>
          <t>SLES 15 SP7</t>
        </is>
      </c>
      <c r="D190" s="23" t="inlineStr">
        <is>
          <t>6.4.0-150700.53.19-default</t>
        </is>
      </c>
      <c r="E190" s="31" t="inlineStr">
        <is>
          <t>SI</t>
        </is>
      </c>
      <c r="F190" s="25" t="inlineStr">
        <is>
          <t>NO</t>
        </is>
      </c>
      <c r="G190" s="32" t="inlineStr">
        <is>
          <t>Parche Disponible</t>
        </is>
      </c>
      <c r="H190" s="23" t="inlineStr">
        <is>
          <t>SUSE Linux Enterprise (SLES)</t>
        </is>
      </c>
    </row>
    <row r="191">
      <c r="A191" s="27" t="inlineStr">
        <is>
          <t>PATWINDB02DES</t>
        </is>
      </c>
      <c r="B191" s="28" t="inlineStr">
        <is>
          <t>Desarrollo</t>
        </is>
      </c>
      <c r="C191" s="27" t="inlineStr">
        <is>
          <t>SLES 15 SP3</t>
        </is>
      </c>
      <c r="D191" s="27" t="inlineStr">
        <is>
          <t>5.3.18-150300.59.49-default</t>
        </is>
      </c>
      <c r="E191" s="29" t="inlineStr">
        <is>
          <t>NO</t>
        </is>
      </c>
      <c r="F191" s="29" t="inlineStr">
        <is>
          <t>NO</t>
        </is>
      </c>
      <c r="G191" s="26" t="inlineStr">
        <is>
          <t>Al Día</t>
        </is>
      </c>
      <c r="H191" s="27" t="inlineStr">
        <is>
          <t>SUSE Linux Enterprise (SLES)</t>
        </is>
      </c>
    </row>
    <row r="192">
      <c r="A192" s="23" t="inlineStr">
        <is>
          <t>PID01</t>
        </is>
      </c>
      <c r="B192" s="24" t="inlineStr">
        <is>
          <t>Desarrollo</t>
        </is>
      </c>
      <c r="C192" s="23" t="inlineStr">
        <is>
          <t>SLES 15 SP7</t>
        </is>
      </c>
      <c r="D192" s="23" t="inlineStr">
        <is>
          <t>6.4.0-150700.53.11-default</t>
        </is>
      </c>
      <c r="E192" s="31" t="inlineStr">
        <is>
          <t>SI</t>
        </is>
      </c>
      <c r="F192" s="25" t="inlineStr">
        <is>
          <t>NO</t>
        </is>
      </c>
      <c r="G192" s="32" t="inlineStr">
        <is>
          <t>Parche Disponible</t>
        </is>
      </c>
      <c r="H192" s="23" t="inlineStr">
        <is>
          <t>SUSE Linux Enterprise (SLES)</t>
        </is>
      </c>
    </row>
    <row r="193">
      <c r="A193" s="27" t="inlineStr">
        <is>
          <t>PIDDB</t>
        </is>
      </c>
      <c r="B193" s="28" t="inlineStr">
        <is>
          <t>Desarrollo</t>
        </is>
      </c>
      <c r="C193" s="27" t="inlineStr">
        <is>
          <t>SLES 15 SP7</t>
        </is>
      </c>
      <c r="D193" s="27" t="inlineStr">
        <is>
          <t>6.4.0-150700.53.11-default</t>
        </is>
      </c>
      <c r="E193" s="31" t="inlineStr">
        <is>
          <t>SI</t>
        </is>
      </c>
      <c r="F193" s="29" t="inlineStr">
        <is>
          <t>NO</t>
        </is>
      </c>
      <c r="G193" s="32" t="inlineStr">
        <is>
          <t>Parche Disponible</t>
        </is>
      </c>
      <c r="H193" s="27" t="inlineStr">
        <is>
          <t>SUSE Linux Enterprise (SLES)</t>
        </is>
      </c>
    </row>
    <row r="194">
      <c r="A194" s="23" t="inlineStr">
        <is>
          <t>PROMISEDLAND01</t>
        </is>
      </c>
      <c r="B194" s="24" t="inlineStr">
        <is>
          <t>Desarrollo</t>
        </is>
      </c>
      <c r="C194" s="23" t="inlineStr">
        <is>
          <t>SLES 15 SP7</t>
        </is>
      </c>
      <c r="D194" s="23" t="inlineStr">
        <is>
          <t>6.4.0-150700.53.40-default</t>
        </is>
      </c>
      <c r="E194" s="31" t="inlineStr">
        <is>
          <t>SI</t>
        </is>
      </c>
      <c r="F194" s="25" t="inlineStr">
        <is>
          <t>NO</t>
        </is>
      </c>
      <c r="G194" s="32" t="inlineStr">
        <is>
          <t>Parche Disponible</t>
        </is>
      </c>
      <c r="H194" s="23" t="inlineStr">
        <is>
          <t>SUSE Linux Enterprise (SLES)</t>
        </is>
      </c>
    </row>
    <row r="195">
      <c r="A195" s="27" t="inlineStr">
        <is>
          <t>SAPSPA01</t>
        </is>
      </c>
      <c r="B195" s="28" t="inlineStr">
        <is>
          <t>Desarrollo</t>
        </is>
      </c>
      <c r="C195" s="27" t="inlineStr">
        <is>
          <t>SLES 15 SP7</t>
        </is>
      </c>
      <c r="D195" s="27" t="inlineStr">
        <is>
          <t>6.4.0-150700.53.52-default</t>
        </is>
      </c>
      <c r="E195" s="29" t="inlineStr">
        <is>
          <t>NO</t>
        </is>
      </c>
      <c r="F195" s="29" t="inlineStr">
        <is>
          <t>NO</t>
        </is>
      </c>
      <c r="G195" s="26" t="inlineStr">
        <is>
          <t>Al Día</t>
        </is>
      </c>
      <c r="H195" s="27" t="inlineStr">
        <is>
          <t>SUSE Linux Enterprise (SLES)</t>
        </is>
      </c>
    </row>
    <row r="196">
      <c r="A196" s="23" t="inlineStr">
        <is>
          <t>SESCLI01DES</t>
        </is>
      </c>
      <c r="B196" s="24" t="inlineStr">
        <is>
          <t>Desarrollo</t>
        </is>
      </c>
      <c r="C196" s="23" t="inlineStr">
        <is>
          <t>SLES 15 SP5</t>
        </is>
      </c>
      <c r="D196" s="23" t="inlineStr">
        <is>
          <t>5.14.21-150500.55.59-default</t>
        </is>
      </c>
      <c r="E196" s="25" t="inlineStr">
        <is>
          <t>NO</t>
        </is>
      </c>
      <c r="F196" s="25" t="inlineStr">
        <is>
          <t>NO</t>
        </is>
      </c>
      <c r="G196" s="26" t="inlineStr">
        <is>
          <t>Al Día</t>
        </is>
      </c>
      <c r="H196" s="23" t="inlineStr">
        <is>
          <t>SUSE Linux Enterprise (SLES)</t>
        </is>
      </c>
    </row>
    <row r="197">
      <c r="A197" s="27" t="inlineStr">
        <is>
          <t>SETAPP01DES</t>
        </is>
      </c>
      <c r="B197" s="28" t="inlineStr">
        <is>
          <t>Desarrollo</t>
        </is>
      </c>
      <c r="C197" s="27" t="inlineStr">
        <is>
          <t>SLES 15 SP3</t>
        </is>
      </c>
      <c r="D197" s="27" t="inlineStr">
        <is>
          <t>5.3.18-150300.59.49-default</t>
        </is>
      </c>
      <c r="E197" s="31" t="inlineStr">
        <is>
          <t>SI</t>
        </is>
      </c>
      <c r="F197" s="29" t="inlineStr">
        <is>
          <t>NO</t>
        </is>
      </c>
      <c r="G197" s="32" t="inlineStr">
        <is>
          <t>Parche Disponible</t>
        </is>
      </c>
      <c r="H197" s="27" t="inlineStr">
        <is>
          <t>SUSE Linux Enterprise (SLES)</t>
        </is>
      </c>
    </row>
    <row r="198">
      <c r="A198" s="23" t="inlineStr">
        <is>
          <t>SETDB01DES</t>
        </is>
      </c>
      <c r="B198" s="24" t="inlineStr">
        <is>
          <t>Desarrollo</t>
        </is>
      </c>
      <c r="C198" s="23" t="inlineStr">
        <is>
          <t>SLES 15 SP3</t>
        </is>
      </c>
      <c r="D198" s="23" t="inlineStr">
        <is>
          <t>5.3.18-150300.59.49-default</t>
        </is>
      </c>
      <c r="E198" s="25" t="inlineStr">
        <is>
          <t>NO</t>
        </is>
      </c>
      <c r="F198" s="25" t="inlineStr">
        <is>
          <t>NO</t>
        </is>
      </c>
      <c r="G198" s="26" t="inlineStr">
        <is>
          <t>Al Día</t>
        </is>
      </c>
      <c r="H198" s="23" t="inlineStr">
        <is>
          <t>SUSE Linux Enterprise (SLES)</t>
        </is>
      </c>
    </row>
    <row r="199">
      <c r="A199" s="27" t="inlineStr">
        <is>
          <t>SPADB</t>
        </is>
      </c>
      <c r="B199" s="28" t="inlineStr">
        <is>
          <t>Desarrollo</t>
        </is>
      </c>
      <c r="C199" s="27" t="inlineStr">
        <is>
          <t>SLES 15 SP7</t>
        </is>
      </c>
      <c r="D199" s="27" t="inlineStr">
        <is>
          <t>6.4.0-150700.53.34-default</t>
        </is>
      </c>
      <c r="E199" s="29" t="inlineStr">
        <is>
          <t>NO</t>
        </is>
      </c>
      <c r="F199" s="29" t="inlineStr">
        <is>
          <t>NO</t>
        </is>
      </c>
      <c r="G199" s="26" t="inlineStr">
        <is>
          <t>Al Día</t>
        </is>
      </c>
      <c r="H199" s="27" t="inlineStr">
        <is>
          <t>SUSE Linux Enterprise (SLES)</t>
        </is>
      </c>
    </row>
    <row r="200">
      <c r="A200" s="23" t="inlineStr">
        <is>
          <t>WDISP01DES</t>
        </is>
      </c>
      <c r="B200" s="24" t="inlineStr">
        <is>
          <t>Desarrollo</t>
        </is>
      </c>
      <c r="C200" s="23" t="inlineStr">
        <is>
          <t>SLES 15 SP6</t>
        </is>
      </c>
      <c r="D200" s="23" t="inlineStr">
        <is>
          <t>6.4.0-150600.23.7-default</t>
        </is>
      </c>
      <c r="E200" s="25" t="inlineStr">
        <is>
          <t>NO</t>
        </is>
      </c>
      <c r="F200" s="25" t="inlineStr">
        <is>
          <t>NO</t>
        </is>
      </c>
      <c r="G200" s="26" t="inlineStr">
        <is>
          <t>Al Día</t>
        </is>
      </c>
      <c r="H200" s="23" t="inlineStr">
        <is>
          <t>SUSE Linux Enterprise (SLES)</t>
        </is>
      </c>
    </row>
    <row r="201">
      <c r="A201" s="27" t="inlineStr">
        <is>
          <t>WEBPUB01DES</t>
        </is>
      </c>
      <c r="B201" s="28" t="inlineStr">
        <is>
          <t>Desarrollo</t>
        </is>
      </c>
      <c r="C201" s="27" t="inlineStr">
        <is>
          <t>SLES 15 SP2</t>
        </is>
      </c>
      <c r="D201" s="27" t="inlineStr">
        <is>
          <t>5.3.18-24.83-default</t>
        </is>
      </c>
      <c r="E201" s="29" t="inlineStr">
        <is>
          <t>NO</t>
        </is>
      </c>
      <c r="F201" s="29" t="inlineStr">
        <is>
          <t>NO</t>
        </is>
      </c>
      <c r="G201" s="26" t="inlineStr">
        <is>
          <t>Al Día</t>
        </is>
      </c>
      <c r="H201" s="27" t="inlineStr">
        <is>
          <t>SUSE Linux Enterprise (SLES)</t>
        </is>
      </c>
    </row>
    <row r="202">
      <c r="A202" s="23" t="inlineStr">
        <is>
          <t>WEBPUB02DES</t>
        </is>
      </c>
      <c r="B202" s="24" t="inlineStr">
        <is>
          <t>Desarrollo</t>
        </is>
      </c>
      <c r="C202" s="23" t="inlineStr">
        <is>
          <t>SLES 15 SP2</t>
        </is>
      </c>
      <c r="D202" s="23" t="inlineStr">
        <is>
          <t>5.3.18-24.96-default</t>
        </is>
      </c>
      <c r="E202" s="25" t="inlineStr">
        <is>
          <t>NO</t>
        </is>
      </c>
      <c r="F202" s="25" t="inlineStr">
        <is>
          <t>NO</t>
        </is>
      </c>
      <c r="G202" s="26" t="inlineStr">
        <is>
          <t>Al Día</t>
        </is>
      </c>
      <c r="H202" s="23" t="inlineStr">
        <is>
          <t>SUSE Linux Enterprise (SLES)</t>
        </is>
      </c>
    </row>
    <row r="203">
      <c r="A203" s="27" t="inlineStr">
        <is>
          <t>WEBPUB05DES</t>
        </is>
      </c>
      <c r="B203" s="28" t="inlineStr">
        <is>
          <t>Desarrollo</t>
        </is>
      </c>
      <c r="C203" s="27" t="inlineStr">
        <is>
          <t>No Alcanzable / Error</t>
        </is>
      </c>
      <c r="D203" s="27" t="inlineStr">
        <is>
          <t>-</t>
        </is>
      </c>
      <c r="E203" s="29" t="inlineStr">
        <is>
          <t>NO</t>
        </is>
      </c>
      <c r="F203" s="29" t="inlineStr">
        <is>
          <t>NO</t>
        </is>
      </c>
      <c r="G203" s="30" t="inlineStr">
        <is>
          <t>No Alcanzable / Error</t>
        </is>
      </c>
      <c r="H203" s="27" t="inlineStr">
        <is>
          <t>No Alcanzable / Error Conexión</t>
        </is>
      </c>
    </row>
    <row r="204">
      <c r="A204" s="23" t="inlineStr">
        <is>
          <t>FAMAAPP01DES</t>
        </is>
      </c>
      <c r="B204" s="24" t="inlineStr">
        <is>
          <t>Desarrollo</t>
        </is>
      </c>
      <c r="C204" s="23" t="inlineStr">
        <is>
          <t>SLES 12 SP5</t>
        </is>
      </c>
      <c r="D204" s="23" t="inlineStr">
        <is>
          <t>4.12.14-122.136-default</t>
        </is>
      </c>
      <c r="E204" s="25" t="inlineStr">
        <is>
          <t>NO</t>
        </is>
      </c>
      <c r="F204" s="25" t="inlineStr">
        <is>
          <t>NO</t>
        </is>
      </c>
      <c r="G204" s="26" t="inlineStr">
        <is>
          <t>Al Día</t>
        </is>
      </c>
      <c r="H204" s="23" t="inlineStr">
        <is>
          <t>SUSE Linux Enterprise (SLES)</t>
        </is>
      </c>
    </row>
    <row r="205">
      <c r="A205" s="27" t="inlineStr">
        <is>
          <t>INTRAHSP01DES</t>
        </is>
      </c>
      <c r="B205" s="28" t="inlineStr">
        <is>
          <t>Desarrollo</t>
        </is>
      </c>
      <c r="C205" s="27" t="inlineStr">
        <is>
          <t>SLES 12 SP5</t>
        </is>
      </c>
      <c r="D205" s="27" t="inlineStr">
        <is>
          <t>4.12.14-122.136-default</t>
        </is>
      </c>
      <c r="E205" s="29" t="inlineStr">
        <is>
          <t>NO</t>
        </is>
      </c>
      <c r="F205" s="29" t="inlineStr">
        <is>
          <t>NO</t>
        </is>
      </c>
      <c r="G205" s="26" t="inlineStr">
        <is>
          <t>Al Día</t>
        </is>
      </c>
      <c r="H205" s="27" t="inlineStr">
        <is>
          <t>SUSE Linux Enterprise (SLES)</t>
        </is>
      </c>
    </row>
    <row r="206">
      <c r="A206" s="23" t="inlineStr">
        <is>
          <t>INTRAHSP02DES</t>
        </is>
      </c>
      <c r="B206" s="24" t="inlineStr">
        <is>
          <t>Desarrollo</t>
        </is>
      </c>
      <c r="C206" s="23" t="inlineStr">
        <is>
          <t>SLES 12 SP5</t>
        </is>
      </c>
      <c r="D206" s="23" t="inlineStr">
        <is>
          <t>4.12.14-122.136-default</t>
        </is>
      </c>
      <c r="E206" s="25" t="inlineStr">
        <is>
          <t>NO</t>
        </is>
      </c>
      <c r="F206" s="25" t="inlineStr">
        <is>
          <t>NO</t>
        </is>
      </c>
      <c r="G206" s="26" t="inlineStr">
        <is>
          <t>Al Día</t>
        </is>
      </c>
      <c r="H206" s="23" t="inlineStr">
        <is>
          <t>SUSE Linux Enterprise (SLES)</t>
        </is>
      </c>
    </row>
    <row r="207">
      <c r="A207" s="27" t="inlineStr">
        <is>
          <t>INTRAHSP03DES</t>
        </is>
      </c>
      <c r="B207" s="28" t="inlineStr">
        <is>
          <t>Desarrollo</t>
        </is>
      </c>
      <c r="C207" s="27" t="inlineStr">
        <is>
          <t>No Alcanzable / Error</t>
        </is>
      </c>
      <c r="D207" s="27" t="inlineStr">
        <is>
          <t>-</t>
        </is>
      </c>
      <c r="E207" s="29" t="inlineStr">
        <is>
          <t>NO</t>
        </is>
      </c>
      <c r="F207" s="29" t="inlineStr">
        <is>
          <t>NO</t>
        </is>
      </c>
      <c r="G207" s="30" t="inlineStr">
        <is>
          <t>No Alcanzable / Error</t>
        </is>
      </c>
      <c r="H207" s="27" t="inlineStr">
        <is>
          <t>No Alcanzable / Error Conexión</t>
        </is>
      </c>
    </row>
    <row r="208">
      <c r="A208" s="23" t="inlineStr">
        <is>
          <t>INTRAHSP04DES</t>
        </is>
      </c>
      <c r="B208" s="24" t="inlineStr">
        <is>
          <t>Desarrollo</t>
        </is>
      </c>
      <c r="C208" s="23" t="inlineStr">
        <is>
          <t>SLES 12 SP5</t>
        </is>
      </c>
      <c r="D208" s="23" t="inlineStr">
        <is>
          <t>4.12.14-122.136-default</t>
        </is>
      </c>
      <c r="E208" s="25" t="inlineStr">
        <is>
          <t>NO</t>
        </is>
      </c>
      <c r="F208" s="25" t="inlineStr">
        <is>
          <t>NO</t>
        </is>
      </c>
      <c r="G208" s="26" t="inlineStr">
        <is>
          <t>Al Día</t>
        </is>
      </c>
      <c r="H208" s="23" t="inlineStr">
        <is>
          <t>SUSE Linux Enterprise (SLES)</t>
        </is>
      </c>
    </row>
    <row r="209">
      <c r="A209" s="27" t="inlineStr">
        <is>
          <t>APPINFURG01DES</t>
        </is>
      </c>
      <c r="B209" s="28" t="inlineStr">
        <is>
          <t>Desarrollo</t>
        </is>
      </c>
      <c r="C209" s="27" t="inlineStr">
        <is>
          <t>No Alcanzable / Error</t>
        </is>
      </c>
      <c r="D209" s="27" t="inlineStr">
        <is>
          <t>-</t>
        </is>
      </c>
      <c r="E209" s="29" t="inlineStr">
        <is>
          <t>NO</t>
        </is>
      </c>
      <c r="F209" s="29" t="inlineStr">
        <is>
          <t>NO</t>
        </is>
      </c>
      <c r="G209" s="30" t="inlineStr">
        <is>
          <t>No Alcanzable / Error</t>
        </is>
      </c>
      <c r="H209" s="27" t="inlineStr">
        <is>
          <t>No Alcanzable / Error Conexión</t>
        </is>
      </c>
    </row>
    <row r="210">
      <c r="A210" s="23" t="inlineStr">
        <is>
          <t>DEVELOPMENT03</t>
        </is>
      </c>
      <c r="B210" s="24" t="inlineStr">
        <is>
          <t>Desarrollo</t>
        </is>
      </c>
      <c r="C210" s="23" t="inlineStr">
        <is>
          <t>No Alcanzable / Error</t>
        </is>
      </c>
      <c r="D210" s="23" t="inlineStr">
        <is>
          <t>-</t>
        </is>
      </c>
      <c r="E210" s="25" t="inlineStr">
        <is>
          <t>NO</t>
        </is>
      </c>
      <c r="F210" s="25" t="inlineStr">
        <is>
          <t>NO</t>
        </is>
      </c>
      <c r="G210" s="30" t="inlineStr">
        <is>
          <t>No Alcanzable / Error</t>
        </is>
      </c>
      <c r="H210" s="23" t="inlineStr">
        <is>
          <t>No Alcanzable / Error Conexión</t>
        </is>
      </c>
    </row>
    <row r="211">
      <c r="A211" s="27" t="inlineStr">
        <is>
          <t>DLAB01</t>
        </is>
      </c>
      <c r="B211" s="28" t="inlineStr">
        <is>
          <t>Desarrollo</t>
        </is>
      </c>
      <c r="C211" s="27" t="inlineStr">
        <is>
          <t>Ubuntu 22.04</t>
        </is>
      </c>
      <c r="D211" s="27" t="inlineStr">
        <is>
          <t>5.15.0-174-generic</t>
        </is>
      </c>
      <c r="E211" s="29" t="inlineStr">
        <is>
          <t>NO</t>
        </is>
      </c>
      <c r="F211" s="33" t="inlineStr">
        <is>
          <t>SI</t>
        </is>
      </c>
      <c r="G211" s="34" t="inlineStr">
        <is>
          <t>Reinicio Pendiente</t>
        </is>
      </c>
      <c r="H211" s="27" t="inlineStr">
        <is>
          <t>Ubuntu Linux</t>
        </is>
      </c>
    </row>
    <row r="212">
      <c r="A212" s="23" t="inlineStr">
        <is>
          <t>DOKUFLEX01TEST</t>
        </is>
      </c>
      <c r="B212" s="24" t="inlineStr">
        <is>
          <t>Desarrollo</t>
        </is>
      </c>
      <c r="C212" s="23" t="inlineStr">
        <is>
          <t>Ubuntu 16.04</t>
        </is>
      </c>
      <c r="D212" s="23" t="inlineStr">
        <is>
          <t>4.4.0-210-generic</t>
        </is>
      </c>
      <c r="E212" s="31" t="inlineStr">
        <is>
          <t>SI</t>
        </is>
      </c>
      <c r="F212" s="25" t="inlineStr">
        <is>
          <t>NO</t>
        </is>
      </c>
      <c r="G212" s="32" t="inlineStr">
        <is>
          <t>Parche Disponible</t>
        </is>
      </c>
      <c r="H212" s="23" t="inlineStr">
        <is>
          <t>Ubuntu Linux</t>
        </is>
      </c>
    </row>
    <row r="213">
      <c r="A213" s="27" t="inlineStr">
        <is>
          <t>IPTV01DES</t>
        </is>
      </c>
      <c r="B213" s="28" t="inlineStr">
        <is>
          <t>Desarrollo</t>
        </is>
      </c>
      <c r="C213" s="27" t="inlineStr">
        <is>
          <t>Ubuntu 12.04</t>
        </is>
      </c>
      <c r="D213" s="27" t="inlineStr">
        <is>
          <t>3.2.0-23-generic</t>
        </is>
      </c>
      <c r="E213" s="29" t="inlineStr">
        <is>
          <t>NO</t>
        </is>
      </c>
      <c r="F213" s="29" t="inlineStr">
        <is>
          <t>NO</t>
        </is>
      </c>
      <c r="G213" s="26" t="inlineStr">
        <is>
          <t>Al Día</t>
        </is>
      </c>
      <c r="H213" s="27" t="inlineStr">
        <is>
          <t>Ubuntu Linux</t>
        </is>
      </c>
    </row>
    <row r="214">
      <c r="A214" s="23" t="inlineStr">
        <is>
          <t>JIRAHSP-TEST</t>
        </is>
      </c>
      <c r="B214" s="24" t="inlineStr">
        <is>
          <t>Desarrollo</t>
        </is>
      </c>
      <c r="C214" s="23" t="inlineStr">
        <is>
          <t>Ubuntu 22.04</t>
        </is>
      </c>
      <c r="D214" s="23" t="inlineStr">
        <is>
          <t>5.15.0-177-generic</t>
        </is>
      </c>
      <c r="E214" s="25" t="inlineStr">
        <is>
          <t>NO</t>
        </is>
      </c>
      <c r="F214" s="25" t="inlineStr">
        <is>
          <t>NO</t>
        </is>
      </c>
      <c r="G214" s="26" t="inlineStr">
        <is>
          <t>Al Día</t>
        </is>
      </c>
      <c r="H214" s="23" t="inlineStr">
        <is>
          <t>Ubuntu Linux</t>
        </is>
      </c>
    </row>
    <row r="215">
      <c r="A215" s="27" t="inlineStr">
        <is>
          <t>KABISOFT02</t>
        </is>
      </c>
      <c r="B215" s="28" t="inlineStr">
        <is>
          <t>Desarrollo</t>
        </is>
      </c>
      <c r="C215" s="27" t="inlineStr">
        <is>
          <t>Ubuntu 22.04</t>
        </is>
      </c>
      <c r="D215" s="27" t="inlineStr">
        <is>
          <t>5.15.0-181-generic</t>
        </is>
      </c>
      <c r="E215" s="31" t="inlineStr">
        <is>
          <t>SI</t>
        </is>
      </c>
      <c r="F215" s="33" t="inlineStr">
        <is>
          <t>SI</t>
        </is>
      </c>
      <c r="G215" s="34" t="inlineStr">
        <is>
          <t>Reinicio Pendiente</t>
        </is>
      </c>
      <c r="H215" s="27" t="inlineStr">
        <is>
          <t>Ubuntu Linux</t>
        </is>
      </c>
    </row>
    <row r="216">
      <c r="A216" s="23" t="inlineStr">
        <is>
          <t>SAU01DES</t>
        </is>
      </c>
      <c r="B216" s="24" t="inlineStr">
        <is>
          <t>Desarrollo</t>
        </is>
      </c>
      <c r="C216" s="23" t="inlineStr">
        <is>
          <t>Ubuntu 20.04</t>
        </is>
      </c>
      <c r="D216" s="23" t="inlineStr">
        <is>
          <t>5.4.0-152-generic</t>
        </is>
      </c>
      <c r="E216" s="31" t="inlineStr">
        <is>
          <t>SI</t>
        </is>
      </c>
      <c r="F216" s="33" t="inlineStr">
        <is>
          <t>SI</t>
        </is>
      </c>
      <c r="G216" s="34" t="inlineStr">
        <is>
          <t>Reinicio Pendiente</t>
        </is>
      </c>
      <c r="H216" s="23" t="inlineStr">
        <is>
          <t>Ubuntu Linux</t>
        </is>
      </c>
    </row>
    <row r="217">
      <c r="A217" s="27" t="inlineStr">
        <is>
          <t>WEBAPPS01</t>
        </is>
      </c>
      <c r="B217" s="28" t="inlineStr">
        <is>
          <t>Desarrollo</t>
        </is>
      </c>
      <c r="C217" s="27" t="inlineStr">
        <is>
          <t>Ubuntu 20.04</t>
        </is>
      </c>
      <c r="D217" s="27" t="inlineStr">
        <is>
          <t>5.4.0-152-generic</t>
        </is>
      </c>
      <c r="E217" s="31" t="inlineStr">
        <is>
          <t>SI</t>
        </is>
      </c>
      <c r="F217" s="33" t="inlineStr">
        <is>
          <t>SI</t>
        </is>
      </c>
      <c r="G217" s="34" t="inlineStr">
        <is>
          <t>Reinicio Pendiente</t>
        </is>
      </c>
      <c r="H217" s="27" t="inlineStr">
        <is>
          <t>Ubuntu Linux</t>
        </is>
      </c>
    </row>
    <row r="218">
      <c r="A218" s="23" t="inlineStr">
        <is>
          <t>WEBAPPS01DES</t>
        </is>
      </c>
      <c r="B218" s="24" t="inlineStr">
        <is>
          <t>Desarrollo</t>
        </is>
      </c>
      <c r="C218" s="23" t="inlineStr">
        <is>
          <t>Ubuntu 20.04</t>
        </is>
      </c>
      <c r="D218" s="23" t="inlineStr">
        <is>
          <t>5.4.0-152-generic</t>
        </is>
      </c>
      <c r="E218" s="31" t="inlineStr">
        <is>
          <t>SI</t>
        </is>
      </c>
      <c r="F218" s="33" t="inlineStr">
        <is>
          <t>SI</t>
        </is>
      </c>
      <c r="G218" s="34" t="inlineStr">
        <is>
          <t>Reinicio Pendiente</t>
        </is>
      </c>
      <c r="H218" s="23" t="inlineStr">
        <is>
          <t>Ubuntu Linux</t>
        </is>
      </c>
    </row>
    <row r="219">
      <c r="A219" s="27" t="inlineStr">
        <is>
          <t>HSPEIDBTEST.82</t>
        </is>
      </c>
      <c r="B219" s="28" t="inlineStr">
        <is>
          <t>Desarrollo</t>
        </is>
      </c>
      <c r="C219" s="27" t="inlineStr">
        <is>
          <t>No Alcanzable / Error</t>
        </is>
      </c>
      <c r="D219" s="27" t="inlineStr">
        <is>
          <t>-</t>
        </is>
      </c>
      <c r="E219" s="29" t="inlineStr">
        <is>
          <t>NO</t>
        </is>
      </c>
      <c r="F219" s="29" t="inlineStr">
        <is>
          <t>NO</t>
        </is>
      </c>
      <c r="G219" s="30" t="inlineStr">
        <is>
          <t>No Alcanzable / Error</t>
        </is>
      </c>
      <c r="H219" s="27" t="inlineStr">
        <is>
          <t>No Alcanzable / Error Conexión</t>
        </is>
      </c>
    </row>
    <row r="220">
      <c r="A220" s="23" t="inlineStr">
        <is>
          <t>HSPEIWSTEST.82</t>
        </is>
      </c>
      <c r="B220" s="24" t="inlineStr">
        <is>
          <t>Desarrollo</t>
        </is>
      </c>
      <c r="C220" s="23" t="inlineStr">
        <is>
          <t>OracleLinux 8.7</t>
        </is>
      </c>
      <c r="D220" s="23" t="inlineStr">
        <is>
          <t>5.15.0-3.60.5.1.el8uek.x86_64</t>
        </is>
      </c>
      <c r="E220" s="25" t="inlineStr">
        <is>
          <t>NO</t>
        </is>
      </c>
      <c r="F220" s="33" t="inlineStr">
        <is>
          <t>SI</t>
        </is>
      </c>
      <c r="G220" s="34" t="inlineStr">
        <is>
          <t>Reinicio Pendiente</t>
        </is>
      </c>
      <c r="H220" s="23" t="inlineStr">
        <is>
          <t>Oracle Linux</t>
        </is>
      </c>
    </row>
    <row r="221">
      <c r="A221" s="27" t="inlineStr">
        <is>
          <t>ENIGMA01DES</t>
        </is>
      </c>
      <c r="B221" s="28" t="inlineStr">
        <is>
          <t>Desarrollo</t>
        </is>
      </c>
      <c r="C221" s="27" t="inlineStr">
        <is>
          <t>Debian 10</t>
        </is>
      </c>
      <c r="D221" s="27" t="inlineStr">
        <is>
          <t>4.19.0-9-amd64</t>
        </is>
      </c>
      <c r="E221" s="29" t="inlineStr">
        <is>
          <t>NO</t>
        </is>
      </c>
      <c r="F221" s="29" t="inlineStr">
        <is>
          <t>NO</t>
        </is>
      </c>
      <c r="G221" s="26" t="inlineStr">
        <is>
          <t>Al Día</t>
        </is>
      </c>
      <c r="H221" s="27" t="inlineStr">
        <is>
          <t>Debian GNU/Linux</t>
        </is>
      </c>
    </row>
    <row r="222">
      <c r="A222" s="23" t="inlineStr">
        <is>
          <t>ESTIMTRACK01DES</t>
        </is>
      </c>
      <c r="B222" s="24" t="inlineStr">
        <is>
          <t>Desarrollo</t>
        </is>
      </c>
      <c r="C222" s="23" t="inlineStr">
        <is>
          <t>CentOS 7.9</t>
        </is>
      </c>
      <c r="D222" s="23" t="inlineStr">
        <is>
          <t>3.10.0-1160.59.1.el7.x86_64</t>
        </is>
      </c>
      <c r="E222" s="25" t="inlineStr">
        <is>
          <t>NO</t>
        </is>
      </c>
      <c r="F222" s="25" t="inlineStr">
        <is>
          <t>NO</t>
        </is>
      </c>
      <c r="G222" s="26" t="inlineStr">
        <is>
          <t>Al Día</t>
        </is>
      </c>
      <c r="H222" s="23" t="inlineStr">
        <is>
          <t>CentOS Linux</t>
        </is>
      </c>
    </row>
    <row r="223">
      <c r="A223" s="27" t="inlineStr">
        <is>
          <t>GESTPRJ01DES</t>
        </is>
      </c>
      <c r="B223" s="28" t="inlineStr">
        <is>
          <t>Desarrollo</t>
        </is>
      </c>
      <c r="C223" s="27" t="inlineStr">
        <is>
          <t>RedHat 7.2</t>
        </is>
      </c>
      <c r="D223" s="27" t="inlineStr">
        <is>
          <t>3.10.0-327.el7.x86_64</t>
        </is>
      </c>
      <c r="E223" s="29" t="inlineStr">
        <is>
          <t>NO</t>
        </is>
      </c>
      <c r="F223" s="29" t="inlineStr">
        <is>
          <t>NO</t>
        </is>
      </c>
      <c r="G223" s="26" t="inlineStr">
        <is>
          <t>Al Día</t>
        </is>
      </c>
      <c r="H223" s="27" t="inlineStr">
        <is>
          <t>Red Hat Enterprise Linux</t>
        </is>
      </c>
    </row>
  </sheetData>
  <autoFilter ref="A1:H2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35" customWidth="1" min="4" max="4"/>
    <col width="26" customWidth="1" min="5" max="5"/>
    <col width="22" customWidth="1" min="6" max="6"/>
    <col width="25" customWidth="1" min="7" max="7"/>
    <col width="20" customWidth="1" min="8" max="8"/>
  </cols>
  <sheetData>
    <row r="1">
      <c r="A1" s="13" t="inlineStr">
        <is>
          <t>Servidor</t>
        </is>
      </c>
      <c r="B1" s="13" t="inlineStr">
        <is>
          <t>Entorno</t>
        </is>
      </c>
      <c r="C1" s="13" t="inlineStr">
        <is>
          <t>Distro SO</t>
        </is>
      </c>
      <c r="D1" s="13" t="inlineStr">
        <is>
          <t>Kernel Activo RAM</t>
        </is>
      </c>
      <c r="E1" s="13" t="inlineStr">
        <is>
          <t>Parche Disponible Repo</t>
        </is>
      </c>
      <c r="F1" s="13" t="inlineStr">
        <is>
          <t>Reinicio Pendiente</t>
        </is>
      </c>
      <c r="G1" s="13" t="inlineStr">
        <is>
          <t>Diagnostico Operativo</t>
        </is>
      </c>
      <c r="H1" s="13" t="inlineStr">
        <is>
          <t>Familia SO</t>
        </is>
      </c>
    </row>
    <row r="2">
      <c r="A2" s="23" t="inlineStr">
        <is>
          <t>HSPEIWSTEST.82</t>
        </is>
      </c>
      <c r="B2" s="24" t="inlineStr">
        <is>
          <t>Desarrollo</t>
        </is>
      </c>
      <c r="C2" s="23" t="inlineStr">
        <is>
          <t>OracleLinux 8.7</t>
        </is>
      </c>
      <c r="D2" s="23" t="inlineStr">
        <is>
          <t>5.15.0-3.60.5.1.el8uek.x86_64</t>
        </is>
      </c>
      <c r="E2" s="25" t="inlineStr">
        <is>
          <t>NO</t>
        </is>
      </c>
      <c r="F2" s="33" t="inlineStr">
        <is>
          <t>SI</t>
        </is>
      </c>
      <c r="G2" s="34" t="inlineStr">
        <is>
          <t>Reinicio Pendiente</t>
        </is>
      </c>
      <c r="H2" s="23" t="inlineStr">
        <is>
          <t>Oracle Linux</t>
        </is>
      </c>
    </row>
    <row r="3">
      <c r="A3" s="27" t="inlineStr">
        <is>
          <t>SAU01DES</t>
        </is>
      </c>
      <c r="B3" s="28" t="inlineStr">
        <is>
          <t>Desarrollo</t>
        </is>
      </c>
      <c r="C3" s="27" t="inlineStr">
        <is>
          <t>Ubuntu 20.04</t>
        </is>
      </c>
      <c r="D3" s="27" t="inlineStr">
        <is>
          <t>5.4.0-152-generic</t>
        </is>
      </c>
      <c r="E3" s="31" t="inlineStr">
        <is>
          <t>SI</t>
        </is>
      </c>
      <c r="F3" s="33" t="inlineStr">
        <is>
          <t>SI</t>
        </is>
      </c>
      <c r="G3" s="34" t="inlineStr">
        <is>
          <t>Reinicio Pendiente</t>
        </is>
      </c>
      <c r="H3" s="27" t="inlineStr">
        <is>
          <t>Ubuntu Linux</t>
        </is>
      </c>
    </row>
    <row r="4">
      <c r="A4" s="23" t="inlineStr">
        <is>
          <t>WEBAPPS01</t>
        </is>
      </c>
      <c r="B4" s="24" t="inlineStr">
        <is>
          <t>Desarrollo</t>
        </is>
      </c>
      <c r="C4" s="23" t="inlineStr">
        <is>
          <t>Ubuntu 20.04</t>
        </is>
      </c>
      <c r="D4" s="23" t="inlineStr">
        <is>
          <t>5.4.0-152-generic</t>
        </is>
      </c>
      <c r="E4" s="31" t="inlineStr">
        <is>
          <t>SI</t>
        </is>
      </c>
      <c r="F4" s="33" t="inlineStr">
        <is>
          <t>SI</t>
        </is>
      </c>
      <c r="G4" s="34" t="inlineStr">
        <is>
          <t>Reinicio Pendiente</t>
        </is>
      </c>
      <c r="H4" s="23" t="inlineStr">
        <is>
          <t>Ubuntu Linux</t>
        </is>
      </c>
    </row>
    <row r="5">
      <c r="A5" s="27" t="inlineStr">
        <is>
          <t>WEBAPPS01DES</t>
        </is>
      </c>
      <c r="B5" s="28" t="inlineStr">
        <is>
          <t>Desarrollo</t>
        </is>
      </c>
      <c r="C5" s="27" t="inlineStr">
        <is>
          <t>Ubuntu 20.04</t>
        </is>
      </c>
      <c r="D5" s="27" t="inlineStr">
        <is>
          <t>5.4.0-152-generic</t>
        </is>
      </c>
      <c r="E5" s="31" t="inlineStr">
        <is>
          <t>SI</t>
        </is>
      </c>
      <c r="F5" s="33" t="inlineStr">
        <is>
          <t>SI</t>
        </is>
      </c>
      <c r="G5" s="34" t="inlineStr">
        <is>
          <t>Reinicio Pendiente</t>
        </is>
      </c>
      <c r="H5" s="27" t="inlineStr">
        <is>
          <t>Ubuntu Linux</t>
        </is>
      </c>
    </row>
    <row r="6">
      <c r="A6" s="23" t="inlineStr">
        <is>
          <t>DLAB01</t>
        </is>
      </c>
      <c r="B6" s="24" t="inlineStr">
        <is>
          <t>Desarrollo</t>
        </is>
      </c>
      <c r="C6" s="23" t="inlineStr">
        <is>
          <t>Ubuntu 22.04</t>
        </is>
      </c>
      <c r="D6" s="23" t="inlineStr">
        <is>
          <t>5.15.0-174-generic</t>
        </is>
      </c>
      <c r="E6" s="25" t="inlineStr">
        <is>
          <t>NO</t>
        </is>
      </c>
      <c r="F6" s="33" t="inlineStr">
        <is>
          <t>SI</t>
        </is>
      </c>
      <c r="G6" s="34" t="inlineStr">
        <is>
          <t>Reinicio Pendiente</t>
        </is>
      </c>
      <c r="H6" s="23" t="inlineStr">
        <is>
          <t>Ubuntu Linux</t>
        </is>
      </c>
    </row>
    <row r="7">
      <c r="A7" s="27" t="inlineStr">
        <is>
          <t>KABISOFT02</t>
        </is>
      </c>
      <c r="B7" s="28" t="inlineStr">
        <is>
          <t>Desarrollo</t>
        </is>
      </c>
      <c r="C7" s="27" t="inlineStr">
        <is>
          <t>Ubuntu 22.04</t>
        </is>
      </c>
      <c r="D7" s="27" t="inlineStr">
        <is>
          <t>5.15.0-181-generic</t>
        </is>
      </c>
      <c r="E7" s="31" t="inlineStr">
        <is>
          <t>SI</t>
        </is>
      </c>
      <c r="F7" s="33" t="inlineStr">
        <is>
          <t>SI</t>
        </is>
      </c>
      <c r="G7" s="34" t="inlineStr">
        <is>
          <t>Reinicio Pendiente</t>
        </is>
      </c>
      <c r="H7" s="27" t="inlineStr">
        <is>
          <t>Ubuntu Linux</t>
        </is>
      </c>
    </row>
    <row r="8">
      <c r="A8" s="23" t="inlineStr">
        <is>
          <t>TARIF04</t>
        </is>
      </c>
      <c r="B8" s="24" t="inlineStr">
        <is>
          <t>Produccion</t>
        </is>
      </c>
      <c r="C8" s="23" t="inlineStr">
        <is>
          <t>CentOS 7.9</t>
        </is>
      </c>
      <c r="D8" s="23" t="inlineStr">
        <is>
          <t>3.10.0-1160.88.1.el7.x86_64</t>
        </is>
      </c>
      <c r="E8" s="25" t="inlineStr">
        <is>
          <t>NO</t>
        </is>
      </c>
      <c r="F8" s="33" t="inlineStr">
        <is>
          <t>SI</t>
        </is>
      </c>
      <c r="G8" s="34" t="inlineStr">
        <is>
          <t>Reinicio Pendiente</t>
        </is>
      </c>
      <c r="H8" s="23" t="inlineStr">
        <is>
          <t>CentOS Linux</t>
        </is>
      </c>
    </row>
    <row r="9">
      <c r="A9" s="27" t="inlineStr">
        <is>
          <t>IRWEBDB01</t>
        </is>
      </c>
      <c r="B9" s="28" t="inlineStr">
        <is>
          <t>Produccion</t>
        </is>
      </c>
      <c r="C9" s="27" t="inlineStr">
        <is>
          <t>Debian 12</t>
        </is>
      </c>
      <c r="D9" s="27" t="inlineStr">
        <is>
          <t>6.1.0-18-amd64</t>
        </is>
      </c>
      <c r="E9" s="29" t="inlineStr">
        <is>
          <t>NO</t>
        </is>
      </c>
      <c r="F9" s="33" t="inlineStr">
        <is>
          <t>SI</t>
        </is>
      </c>
      <c r="G9" s="34" t="inlineStr">
        <is>
          <t>Reinicio Pendiente</t>
        </is>
      </c>
      <c r="H9" s="27" t="inlineStr">
        <is>
          <t>Debian GNU/Linux</t>
        </is>
      </c>
    </row>
    <row r="10">
      <c r="A10" s="23" t="inlineStr">
        <is>
          <t>IRWEBFRONT01</t>
        </is>
      </c>
      <c r="B10" s="24" t="inlineStr">
        <is>
          <t>Produccion</t>
        </is>
      </c>
      <c r="C10" s="23" t="inlineStr">
        <is>
          <t>Debian 12.15</t>
        </is>
      </c>
      <c r="D10" s="23" t="inlineStr">
        <is>
          <t>6.1.0-18-amd64</t>
        </is>
      </c>
      <c r="E10" s="25" t="inlineStr">
        <is>
          <t>NO</t>
        </is>
      </c>
      <c r="F10" s="33" t="inlineStr">
        <is>
          <t>SI</t>
        </is>
      </c>
      <c r="G10" s="34" t="inlineStr">
        <is>
          <t>Reinicio Pendiente</t>
        </is>
      </c>
      <c r="H10" s="23" t="inlineStr">
        <is>
          <t>Debian GNU/Linux</t>
        </is>
      </c>
    </row>
    <row r="11">
      <c r="A11" s="27" t="inlineStr">
        <is>
          <t>HSPEIBI01</t>
        </is>
      </c>
      <c r="B11" s="28" t="inlineStr">
        <is>
          <t>Produccion</t>
        </is>
      </c>
      <c r="C11" s="27" t="inlineStr">
        <is>
          <t>OracleLinux 8.4</t>
        </is>
      </c>
      <c r="D11" s="27" t="inlineStr">
        <is>
          <t>5.4.17-2102.203.6.el8uek.x86_64</t>
        </is>
      </c>
      <c r="E11" s="31" t="inlineStr">
        <is>
          <t>SI</t>
        </is>
      </c>
      <c r="F11" s="33" t="inlineStr">
        <is>
          <t>SI</t>
        </is>
      </c>
      <c r="G11" s="34" t="inlineStr">
        <is>
          <t>Reinicio Pendiente</t>
        </is>
      </c>
      <c r="H11" s="27" t="inlineStr">
        <is>
          <t>Oracle Linux</t>
        </is>
      </c>
    </row>
    <row r="12">
      <c r="A12" s="23" t="inlineStr">
        <is>
          <t>HSPEIXERO02.82</t>
        </is>
      </c>
      <c r="B12" s="24" t="inlineStr">
        <is>
          <t>Produccion</t>
        </is>
      </c>
      <c r="C12" s="23" t="inlineStr">
        <is>
          <t>OracleLinux 8.7</t>
        </is>
      </c>
      <c r="D12" s="23" t="inlineStr">
        <is>
          <t>5.15.0-3.60.5.1.el8uek.x86_64</t>
        </is>
      </c>
      <c r="E12" s="25" t="inlineStr">
        <is>
          <t>NO</t>
        </is>
      </c>
      <c r="F12" s="33" t="inlineStr">
        <is>
          <t>SI</t>
        </is>
      </c>
      <c r="G12" s="34" t="inlineStr">
        <is>
          <t>Reinicio Pendiente</t>
        </is>
      </c>
      <c r="H12" s="23" t="inlineStr">
        <is>
          <t>Oracle Linux</t>
        </is>
      </c>
    </row>
    <row r="13">
      <c r="A13" s="27" t="inlineStr">
        <is>
          <t>UBUNTU01</t>
        </is>
      </c>
      <c r="B13" s="28" t="inlineStr">
        <is>
          <t>Produccion</t>
        </is>
      </c>
      <c r="C13" s="27" t="inlineStr">
        <is>
          <t>Ubuntu 16.04</t>
        </is>
      </c>
      <c r="D13" s="27" t="inlineStr">
        <is>
          <t>4.4.0-59-generic</t>
        </is>
      </c>
      <c r="E13" s="29" t="inlineStr">
        <is>
          <t>NO</t>
        </is>
      </c>
      <c r="F13" s="33" t="inlineStr">
        <is>
          <t>SI</t>
        </is>
      </c>
      <c r="G13" s="34" t="inlineStr">
        <is>
          <t>Reinicio Pendiente</t>
        </is>
      </c>
      <c r="H13" s="27" t="inlineStr">
        <is>
          <t>Ubuntu Linux</t>
        </is>
      </c>
    </row>
    <row r="14">
      <c r="A14" s="23" t="inlineStr">
        <is>
          <t>ATB01</t>
        </is>
      </c>
      <c r="B14" s="24" t="inlineStr">
        <is>
          <t>Produccion</t>
        </is>
      </c>
      <c r="C14" s="23" t="inlineStr">
        <is>
          <t>Ubuntu 20.04</t>
        </is>
      </c>
      <c r="D14" s="23" t="inlineStr">
        <is>
          <t>5.4.0-166-generic</t>
        </is>
      </c>
      <c r="E14" s="25" t="inlineStr">
        <is>
          <t>NO</t>
        </is>
      </c>
      <c r="F14" s="33" t="inlineStr">
        <is>
          <t>SI</t>
        </is>
      </c>
      <c r="G14" s="34" t="inlineStr">
        <is>
          <t>Reinicio Pendiente</t>
        </is>
      </c>
      <c r="H14" s="23" t="inlineStr">
        <is>
          <t>Ubuntu Linux</t>
        </is>
      </c>
    </row>
    <row r="15">
      <c r="A15" s="27" t="inlineStr">
        <is>
          <t>OMAWEB01</t>
        </is>
      </c>
      <c r="B15" s="28" t="inlineStr">
        <is>
          <t>Produccion</t>
        </is>
      </c>
      <c r="C15" s="27" t="inlineStr">
        <is>
          <t>Ubuntu 20.04</t>
        </is>
      </c>
      <c r="D15" s="27" t="inlineStr">
        <is>
          <t>5.4.0-152-generic</t>
        </is>
      </c>
      <c r="E15" s="29" t="inlineStr">
        <is>
          <t>NO</t>
        </is>
      </c>
      <c r="F15" s="33" t="inlineStr">
        <is>
          <t>SI</t>
        </is>
      </c>
      <c r="G15" s="34" t="inlineStr">
        <is>
          <t>Reinicio Pendiente</t>
        </is>
      </c>
      <c r="H15" s="27" t="inlineStr">
        <is>
          <t>Ubuntu Linux</t>
        </is>
      </c>
    </row>
    <row r="16">
      <c r="A16" s="23" t="inlineStr">
        <is>
          <t>SCANNESSUS01</t>
        </is>
      </c>
      <c r="B16" s="24" t="inlineStr">
        <is>
          <t>Produccion</t>
        </is>
      </c>
      <c r="C16" s="23" t="inlineStr">
        <is>
          <t>Ubuntu 20.04</t>
        </is>
      </c>
      <c r="D16" s="23" t="inlineStr">
        <is>
          <t>5.4.0-173-generic</t>
        </is>
      </c>
      <c r="E16" s="25" t="inlineStr">
        <is>
          <t>NO</t>
        </is>
      </c>
      <c r="F16" s="33" t="inlineStr">
        <is>
          <t>SI</t>
        </is>
      </c>
      <c r="G16" s="34" t="inlineStr">
        <is>
          <t>Reinicio Pendiente</t>
        </is>
      </c>
      <c r="H16" s="23" t="inlineStr">
        <is>
          <t>Ubuntu Linux</t>
        </is>
      </c>
    </row>
    <row r="17">
      <c r="A17" s="27" t="inlineStr">
        <is>
          <t>APPWMP01</t>
        </is>
      </c>
      <c r="B17" s="28" t="inlineStr">
        <is>
          <t>Produccion</t>
        </is>
      </c>
      <c r="C17" s="27" t="inlineStr">
        <is>
          <t>Ubuntu 22.04</t>
        </is>
      </c>
      <c r="D17" s="27" t="inlineStr">
        <is>
          <t>5.15.0-140-generic</t>
        </is>
      </c>
      <c r="E17" s="31" t="inlineStr">
        <is>
          <t>SI</t>
        </is>
      </c>
      <c r="F17" s="33" t="inlineStr">
        <is>
          <t>SI</t>
        </is>
      </c>
      <c r="G17" s="34" t="inlineStr">
        <is>
          <t>Reinicio Pendiente</t>
        </is>
      </c>
      <c r="H17" s="27" t="inlineStr">
        <is>
          <t>Ubuntu Linux</t>
        </is>
      </c>
    </row>
    <row r="18">
      <c r="A18" s="23" t="inlineStr">
        <is>
          <t>BACTERIEMIES01</t>
        </is>
      </c>
      <c r="B18" s="24" t="inlineStr">
        <is>
          <t>Produccion</t>
        </is>
      </c>
      <c r="C18" s="23" t="inlineStr">
        <is>
          <t>Ubuntu 22.04</t>
        </is>
      </c>
      <c r="D18" s="23" t="inlineStr">
        <is>
          <t>5.15.0-71-generic</t>
        </is>
      </c>
      <c r="E18" s="25" t="inlineStr">
        <is>
          <t>NO</t>
        </is>
      </c>
      <c r="F18" s="33" t="inlineStr">
        <is>
          <t>SI</t>
        </is>
      </c>
      <c r="G18" s="34" t="inlineStr">
        <is>
          <t>Reinicio Pendiente</t>
        </is>
      </c>
      <c r="H18" s="23" t="inlineStr">
        <is>
          <t>Ubuntu Linux</t>
        </is>
      </c>
    </row>
    <row r="19">
      <c r="A19" s="27" t="inlineStr">
        <is>
          <t>ENIGMAPRN03</t>
        </is>
      </c>
      <c r="B19" s="28" t="inlineStr">
        <is>
          <t>Produccion</t>
        </is>
      </c>
      <c r="C19" s="27" t="inlineStr">
        <is>
          <t>Ubuntu 22.04</t>
        </is>
      </c>
      <c r="D19" s="27" t="inlineStr">
        <is>
          <t>5.15.0-107-generic</t>
        </is>
      </c>
      <c r="E19" s="29" t="inlineStr">
        <is>
          <t>NO</t>
        </is>
      </c>
      <c r="F19" s="33" t="inlineStr">
        <is>
          <t>SI</t>
        </is>
      </c>
      <c r="G19" s="34" t="inlineStr">
        <is>
          <t>Reinicio Pendiente</t>
        </is>
      </c>
      <c r="H19" s="27" t="inlineStr">
        <is>
          <t>Ubuntu Linux</t>
        </is>
      </c>
    </row>
    <row r="20">
      <c r="A20" s="23" t="inlineStr">
        <is>
          <t>GESTIOIP</t>
        </is>
      </c>
      <c r="B20" s="24" t="inlineStr">
        <is>
          <t>Produccion</t>
        </is>
      </c>
      <c r="C20" s="23" t="inlineStr">
        <is>
          <t>Ubuntu 22.04</t>
        </is>
      </c>
      <c r="D20" s="23" t="inlineStr">
        <is>
          <t>5.15.0-141-generic</t>
        </is>
      </c>
      <c r="E20" s="25" t="inlineStr">
        <is>
          <t>NO</t>
        </is>
      </c>
      <c r="F20" s="33" t="inlineStr">
        <is>
          <t>SI</t>
        </is>
      </c>
      <c r="G20" s="34" t="inlineStr">
        <is>
          <t>Reinicio Pendiente</t>
        </is>
      </c>
      <c r="H20" s="23" t="inlineStr">
        <is>
          <t>Ubuntu Linux</t>
        </is>
      </c>
    </row>
    <row r="21">
      <c r="A21" s="27" t="inlineStr">
        <is>
          <t>GITLAB01</t>
        </is>
      </c>
      <c r="B21" s="28" t="inlineStr">
        <is>
          <t>Produccion</t>
        </is>
      </c>
      <c r="C21" s="27" t="inlineStr">
        <is>
          <t>Ubuntu 22.04</t>
        </is>
      </c>
      <c r="D21" s="27" t="inlineStr">
        <is>
          <t>5.15.0-94-generic</t>
        </is>
      </c>
      <c r="E21" s="29" t="inlineStr">
        <is>
          <t>NO</t>
        </is>
      </c>
      <c r="F21" s="33" t="inlineStr">
        <is>
          <t>SI</t>
        </is>
      </c>
      <c r="G21" s="34" t="inlineStr">
        <is>
          <t>Reinicio Pendiente</t>
        </is>
      </c>
      <c r="H21" s="27" t="inlineStr">
        <is>
          <t>Ubuntu Linux</t>
        </is>
      </c>
    </row>
    <row r="22">
      <c r="A22" s="23" t="inlineStr">
        <is>
          <t>KABISOFT01</t>
        </is>
      </c>
      <c r="B22" s="24" t="inlineStr">
        <is>
          <t>Produccion</t>
        </is>
      </c>
      <c r="C22" s="23" t="inlineStr">
        <is>
          <t>Ubuntu 22.04</t>
        </is>
      </c>
      <c r="D22" s="23" t="inlineStr">
        <is>
          <t>5.15.0-181-generic</t>
        </is>
      </c>
      <c r="E22" s="31" t="inlineStr">
        <is>
          <t>SI</t>
        </is>
      </c>
      <c r="F22" s="33" t="inlineStr">
        <is>
          <t>SI</t>
        </is>
      </c>
      <c r="G22" s="34" t="inlineStr">
        <is>
          <t>Reinicio Pendiente</t>
        </is>
      </c>
      <c r="H22" s="23" t="inlineStr">
        <is>
          <t>Ubuntu Linux</t>
        </is>
      </c>
    </row>
    <row r="23">
      <c r="A23" s="27" t="inlineStr">
        <is>
          <t>MOODLE</t>
        </is>
      </c>
      <c r="B23" s="28" t="inlineStr">
        <is>
          <t>Produccion</t>
        </is>
      </c>
      <c r="C23" s="27" t="inlineStr">
        <is>
          <t>Ubuntu 22.04</t>
        </is>
      </c>
      <c r="D23" s="27" t="inlineStr">
        <is>
          <t>5.15.0-122-generic</t>
        </is>
      </c>
      <c r="E23" s="31" t="inlineStr">
        <is>
          <t>SI</t>
        </is>
      </c>
      <c r="F23" s="33" t="inlineStr">
        <is>
          <t>SI</t>
        </is>
      </c>
      <c r="G23" s="34" t="inlineStr">
        <is>
          <t>Reinicio Pendiente</t>
        </is>
      </c>
      <c r="H23" s="27" t="inlineStr">
        <is>
          <t>Ubuntu Linux</t>
        </is>
      </c>
    </row>
    <row r="24">
      <c r="A24" s="23" t="inlineStr">
        <is>
          <t>NEXUS01</t>
        </is>
      </c>
      <c r="B24" s="24" t="inlineStr">
        <is>
          <t>Produccion</t>
        </is>
      </c>
      <c r="C24" s="23" t="inlineStr">
        <is>
          <t>Ubuntu 22.04</t>
        </is>
      </c>
      <c r="D24" s="23" t="inlineStr">
        <is>
          <t>5.15.0-89-generic</t>
        </is>
      </c>
      <c r="E24" s="25" t="inlineStr">
        <is>
          <t>NO</t>
        </is>
      </c>
      <c r="F24" s="33" t="inlineStr">
        <is>
          <t>SI</t>
        </is>
      </c>
      <c r="G24" s="34" t="inlineStr">
        <is>
          <t>Reinicio Pendiente</t>
        </is>
      </c>
      <c r="H24" s="23" t="inlineStr">
        <is>
          <t>Ubuntu Linux</t>
        </is>
      </c>
    </row>
    <row r="25">
      <c r="A25" s="27" t="inlineStr">
        <is>
          <t>REDIS01</t>
        </is>
      </c>
      <c r="B25" s="28" t="inlineStr">
        <is>
          <t>Produccion</t>
        </is>
      </c>
      <c r="C25" s="27" t="inlineStr">
        <is>
          <t>Ubuntu 22.04</t>
        </is>
      </c>
      <c r="D25" s="27" t="inlineStr">
        <is>
          <t>5.15.0-91-generic</t>
        </is>
      </c>
      <c r="E25" s="29" t="inlineStr">
        <is>
          <t>NO</t>
        </is>
      </c>
      <c r="F25" s="33" t="inlineStr">
        <is>
          <t>SI</t>
        </is>
      </c>
      <c r="G25" s="34" t="inlineStr">
        <is>
          <t>Reinicio Pendiente</t>
        </is>
      </c>
      <c r="H25" s="27" t="inlineStr">
        <is>
          <t>Ubuntu Linux</t>
        </is>
      </c>
    </row>
    <row r="26">
      <c r="A26" s="23" t="inlineStr">
        <is>
          <t>SENTRY01</t>
        </is>
      </c>
      <c r="B26" s="24" t="inlineStr">
        <is>
          <t>Produccion</t>
        </is>
      </c>
      <c r="C26" s="23" t="inlineStr">
        <is>
          <t>Ubuntu 22.04</t>
        </is>
      </c>
      <c r="D26" s="23" t="inlineStr">
        <is>
          <t>5.15.0-121-generic</t>
        </is>
      </c>
      <c r="E26" s="25" t="inlineStr">
        <is>
          <t>NO</t>
        </is>
      </c>
      <c r="F26" s="33" t="inlineStr">
        <is>
          <t>SI</t>
        </is>
      </c>
      <c r="G26" s="34" t="inlineStr">
        <is>
          <t>Reinicio Pendiente</t>
        </is>
      </c>
      <c r="H26" s="23" t="inlineStr">
        <is>
          <t>Ubuntu Linux</t>
        </is>
      </c>
    </row>
    <row r="27">
      <c r="A27" s="27" t="inlineStr">
        <is>
          <t>SONARQUBE01</t>
        </is>
      </c>
      <c r="B27" s="28" t="inlineStr">
        <is>
          <t>Produccion</t>
        </is>
      </c>
      <c r="C27" s="27" t="inlineStr">
        <is>
          <t>Ubuntu 22.04</t>
        </is>
      </c>
      <c r="D27" s="27" t="inlineStr">
        <is>
          <t>5.15.0-160-generic</t>
        </is>
      </c>
      <c r="E27" s="29" t="inlineStr">
        <is>
          <t>NO</t>
        </is>
      </c>
      <c r="F27" s="33" t="inlineStr">
        <is>
          <t>SI</t>
        </is>
      </c>
      <c r="G27" s="34" t="inlineStr">
        <is>
          <t>Reinicio Pendiente</t>
        </is>
      </c>
      <c r="H27" s="27" t="inlineStr">
        <is>
          <t>Ubuntu Linux</t>
        </is>
      </c>
    </row>
    <row r="28">
      <c r="A28" s="23" t="inlineStr">
        <is>
          <t>XICVAR01</t>
        </is>
      </c>
      <c r="B28" s="24" t="inlineStr">
        <is>
          <t>Produccion</t>
        </is>
      </c>
      <c r="C28" s="23" t="inlineStr">
        <is>
          <t>Ubuntu 22.04</t>
        </is>
      </c>
      <c r="D28" s="23" t="inlineStr">
        <is>
          <t>5.15.0-105-generic</t>
        </is>
      </c>
      <c r="E28" s="25" t="inlineStr">
        <is>
          <t>NO</t>
        </is>
      </c>
      <c r="F28" s="33" t="inlineStr">
        <is>
          <t>SI</t>
        </is>
      </c>
      <c r="G28" s="34" t="inlineStr">
        <is>
          <t>Reinicio Pendiente</t>
        </is>
      </c>
      <c r="H28" s="23" t="inlineStr">
        <is>
          <t>Ubuntu Linux</t>
        </is>
      </c>
    </row>
    <row r="29">
      <c r="A29" s="27" t="inlineStr">
        <is>
          <t>bastion01</t>
        </is>
      </c>
      <c r="B29" s="28" t="inlineStr">
        <is>
          <t>Produccion</t>
        </is>
      </c>
      <c r="C29" s="27" t="inlineStr">
        <is>
          <t>Ubuntu 22.04</t>
        </is>
      </c>
      <c r="D29" s="27" t="inlineStr">
        <is>
          <t>5.15.0-97-generic</t>
        </is>
      </c>
      <c r="E29" s="29" t="inlineStr">
        <is>
          <t>NO</t>
        </is>
      </c>
      <c r="F29" s="33" t="inlineStr">
        <is>
          <t>SI</t>
        </is>
      </c>
      <c r="G29" s="34" t="inlineStr">
        <is>
          <t>Reinicio Pendiente</t>
        </is>
      </c>
      <c r="H29" s="27" t="inlineStr">
        <is>
          <t>Ubuntu Linux</t>
        </is>
      </c>
    </row>
  </sheetData>
  <autoFilter ref="A1:H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9" customWidth="1" min="3" max="3"/>
    <col width="35" customWidth="1" min="4" max="4"/>
    <col width="26" customWidth="1" min="5" max="5"/>
    <col width="22" customWidth="1" min="6" max="6"/>
    <col width="25" customWidth="1" min="7" max="7"/>
    <col width="32" customWidth="1" min="8" max="8"/>
  </cols>
  <sheetData>
    <row r="1">
      <c r="A1" s="13" t="inlineStr">
        <is>
          <t>Servidor</t>
        </is>
      </c>
      <c r="B1" s="13" t="inlineStr">
        <is>
          <t>Entorno</t>
        </is>
      </c>
      <c r="C1" s="13" t="inlineStr">
        <is>
          <t>Distro SO</t>
        </is>
      </c>
      <c r="D1" s="13" t="inlineStr">
        <is>
          <t>Kernel Activo RAM</t>
        </is>
      </c>
      <c r="E1" s="13" t="inlineStr">
        <is>
          <t>Parche Disponible Repo</t>
        </is>
      </c>
      <c r="F1" s="13" t="inlineStr">
        <is>
          <t>Reinicio Pendiente</t>
        </is>
      </c>
      <c r="G1" s="13" t="inlineStr">
        <is>
          <t>Diagnostico Operativo</t>
        </is>
      </c>
      <c r="H1" s="13" t="inlineStr">
        <is>
          <t>Familia SO</t>
        </is>
      </c>
    </row>
    <row r="2">
      <c r="A2" s="23" t="inlineStr">
        <is>
          <t>GOTA04DES_restore</t>
        </is>
      </c>
      <c r="B2" s="24" t="inlineStr">
        <is>
          <t>Desarrollo</t>
        </is>
      </c>
      <c r="C2" s="23" t="inlineStr">
        <is>
          <t>SLES 15 SP3</t>
        </is>
      </c>
      <c r="D2" s="23" t="inlineStr">
        <is>
          <t>5.3.18-150300.59.49-default</t>
        </is>
      </c>
      <c r="E2" s="31" t="inlineStr">
        <is>
          <t>SI</t>
        </is>
      </c>
      <c r="F2" s="25" t="inlineStr">
        <is>
          <t>NO</t>
        </is>
      </c>
      <c r="G2" s="32" t="inlineStr">
        <is>
          <t>Parche Disponible</t>
        </is>
      </c>
      <c r="H2" s="23" t="inlineStr">
        <is>
          <t>SUSE Linux Enterprise (SLES)</t>
        </is>
      </c>
    </row>
    <row r="3">
      <c r="A3" s="27" t="inlineStr">
        <is>
          <t>SETAPP01DES</t>
        </is>
      </c>
      <c r="B3" s="28" t="inlineStr">
        <is>
          <t>Desarrollo</t>
        </is>
      </c>
      <c r="C3" s="27" t="inlineStr">
        <is>
          <t>SLES 15 SP3</t>
        </is>
      </c>
      <c r="D3" s="27" t="inlineStr">
        <is>
          <t>5.3.18-150300.59.49-default</t>
        </is>
      </c>
      <c r="E3" s="31" t="inlineStr">
        <is>
          <t>SI</t>
        </is>
      </c>
      <c r="F3" s="29" t="inlineStr">
        <is>
          <t>NO</t>
        </is>
      </c>
      <c r="G3" s="32" t="inlineStr">
        <is>
          <t>Parche Disponible</t>
        </is>
      </c>
      <c r="H3" s="27" t="inlineStr">
        <is>
          <t>SUSE Linux Enterprise (SLES)</t>
        </is>
      </c>
    </row>
    <row r="4">
      <c r="A4" s="23" t="inlineStr">
        <is>
          <t>INTRANETHSP03DES</t>
        </is>
      </c>
      <c r="B4" s="24" t="inlineStr">
        <is>
          <t>Desarrollo</t>
        </is>
      </c>
      <c r="C4" s="23" t="inlineStr">
        <is>
          <t>SLES 15 SP7</t>
        </is>
      </c>
      <c r="D4" s="23" t="inlineStr">
        <is>
          <t>6.4.0-150600.23.30-default</t>
        </is>
      </c>
      <c r="E4" s="31" t="inlineStr">
        <is>
          <t>SI</t>
        </is>
      </c>
      <c r="F4" s="25" t="inlineStr">
        <is>
          <t>NO</t>
        </is>
      </c>
      <c r="G4" s="32" t="inlineStr">
        <is>
          <t>Parche Disponible</t>
        </is>
      </c>
      <c r="H4" s="23" t="inlineStr">
        <is>
          <t>SUSE Linux Enterprise (SLES)</t>
        </is>
      </c>
    </row>
    <row r="5">
      <c r="A5" s="27" t="inlineStr">
        <is>
          <t>MOVISALUD01DES</t>
        </is>
      </c>
      <c r="B5" s="28" t="inlineStr">
        <is>
          <t>Desarrollo</t>
        </is>
      </c>
      <c r="C5" s="27" t="inlineStr">
        <is>
          <t>SLES 15 SP7</t>
        </is>
      </c>
      <c r="D5" s="27" t="inlineStr">
        <is>
          <t>6.4.0-150700.53.19-default</t>
        </is>
      </c>
      <c r="E5" s="31" t="inlineStr">
        <is>
          <t>SI</t>
        </is>
      </c>
      <c r="F5" s="29" t="inlineStr">
        <is>
          <t>NO</t>
        </is>
      </c>
      <c r="G5" s="32" t="inlineStr">
        <is>
          <t>Parche Disponible</t>
        </is>
      </c>
      <c r="H5" s="27" t="inlineStr">
        <is>
          <t>SUSE Linux Enterprise (SLES)</t>
        </is>
      </c>
    </row>
    <row r="6">
      <c r="A6" s="23" t="inlineStr">
        <is>
          <t>OMIQ01DES</t>
        </is>
      </c>
      <c r="B6" s="24" t="inlineStr">
        <is>
          <t>Desarrollo</t>
        </is>
      </c>
      <c r="C6" s="23" t="inlineStr">
        <is>
          <t>SLES 15 SP7</t>
        </is>
      </c>
      <c r="D6" s="23" t="inlineStr">
        <is>
          <t>6.4.0-150700.53.22-default</t>
        </is>
      </c>
      <c r="E6" s="31" t="inlineStr">
        <is>
          <t>SI</t>
        </is>
      </c>
      <c r="F6" s="25" t="inlineStr">
        <is>
          <t>NO</t>
        </is>
      </c>
      <c r="G6" s="32" t="inlineStr">
        <is>
          <t>Parche Disponible</t>
        </is>
      </c>
      <c r="H6" s="23" t="inlineStr">
        <is>
          <t>SUSE Linux Enterprise (SLES)</t>
        </is>
      </c>
    </row>
    <row r="7">
      <c r="A7" s="27" t="inlineStr">
        <is>
          <t>OMIQ01SQLDES</t>
        </is>
      </c>
      <c r="B7" s="28" t="inlineStr">
        <is>
          <t>Desarrollo</t>
        </is>
      </c>
      <c r="C7" s="27" t="inlineStr">
        <is>
          <t>SLES 15 SP7</t>
        </is>
      </c>
      <c r="D7" s="27" t="inlineStr">
        <is>
          <t>6.4.0-150700.53.19-default</t>
        </is>
      </c>
      <c r="E7" s="31" t="inlineStr">
        <is>
          <t>SI</t>
        </is>
      </c>
      <c r="F7" s="29" t="inlineStr">
        <is>
          <t>NO</t>
        </is>
      </c>
      <c r="G7" s="32" t="inlineStr">
        <is>
          <t>Parche Disponible</t>
        </is>
      </c>
      <c r="H7" s="27" t="inlineStr">
        <is>
          <t>SUSE Linux Enterprise (SLES)</t>
        </is>
      </c>
    </row>
    <row r="8">
      <c r="A8" s="23" t="inlineStr">
        <is>
          <t>PID01</t>
        </is>
      </c>
      <c r="B8" s="24" t="inlineStr">
        <is>
          <t>Desarrollo</t>
        </is>
      </c>
      <c r="C8" s="23" t="inlineStr">
        <is>
          <t>SLES 15 SP7</t>
        </is>
      </c>
      <c r="D8" s="23" t="inlineStr">
        <is>
          <t>6.4.0-150700.53.11-default</t>
        </is>
      </c>
      <c r="E8" s="31" t="inlineStr">
        <is>
          <t>SI</t>
        </is>
      </c>
      <c r="F8" s="25" t="inlineStr">
        <is>
          <t>NO</t>
        </is>
      </c>
      <c r="G8" s="32" t="inlineStr">
        <is>
          <t>Parche Disponible</t>
        </is>
      </c>
      <c r="H8" s="23" t="inlineStr">
        <is>
          <t>SUSE Linux Enterprise (SLES)</t>
        </is>
      </c>
    </row>
    <row r="9">
      <c r="A9" s="27" t="inlineStr">
        <is>
          <t>PIDDB</t>
        </is>
      </c>
      <c r="B9" s="28" t="inlineStr">
        <is>
          <t>Desarrollo</t>
        </is>
      </c>
      <c r="C9" s="27" t="inlineStr">
        <is>
          <t>SLES 15 SP7</t>
        </is>
      </c>
      <c r="D9" s="27" t="inlineStr">
        <is>
          <t>6.4.0-150700.53.11-default</t>
        </is>
      </c>
      <c r="E9" s="31" t="inlineStr">
        <is>
          <t>SI</t>
        </is>
      </c>
      <c r="F9" s="29" t="inlineStr">
        <is>
          <t>NO</t>
        </is>
      </c>
      <c r="G9" s="32" t="inlineStr">
        <is>
          <t>Parche Disponible</t>
        </is>
      </c>
      <c r="H9" s="27" t="inlineStr">
        <is>
          <t>SUSE Linux Enterprise (SLES)</t>
        </is>
      </c>
    </row>
    <row r="10">
      <c r="A10" s="23" t="inlineStr">
        <is>
          <t>PROMISEDLAND01</t>
        </is>
      </c>
      <c r="B10" s="24" t="inlineStr">
        <is>
          <t>Desarrollo</t>
        </is>
      </c>
      <c r="C10" s="23" t="inlineStr">
        <is>
          <t>SLES 15 SP7</t>
        </is>
      </c>
      <c r="D10" s="23" t="inlineStr">
        <is>
          <t>6.4.0-150700.53.40-default</t>
        </is>
      </c>
      <c r="E10" s="31" t="inlineStr">
        <is>
          <t>SI</t>
        </is>
      </c>
      <c r="F10" s="25" t="inlineStr">
        <is>
          <t>NO</t>
        </is>
      </c>
      <c r="G10" s="32" t="inlineStr">
        <is>
          <t>Parche Disponible</t>
        </is>
      </c>
      <c r="H10" s="23" t="inlineStr">
        <is>
          <t>SUSE Linux Enterprise (SLES)</t>
        </is>
      </c>
    </row>
    <row r="11">
      <c r="A11" s="27" t="inlineStr">
        <is>
          <t>DOKUFLEX01TEST</t>
        </is>
      </c>
      <c r="B11" s="28" t="inlineStr">
        <is>
          <t>Desarrollo</t>
        </is>
      </c>
      <c r="C11" s="27" t="inlineStr">
        <is>
          <t>Ubuntu 16.04</t>
        </is>
      </c>
      <c r="D11" s="27" t="inlineStr">
        <is>
          <t>4.4.0-210-generic</t>
        </is>
      </c>
      <c r="E11" s="31" t="inlineStr">
        <is>
          <t>SI</t>
        </is>
      </c>
      <c r="F11" s="29" t="inlineStr">
        <is>
          <t>NO</t>
        </is>
      </c>
      <c r="G11" s="32" t="inlineStr">
        <is>
          <t>Parche Disponible</t>
        </is>
      </c>
      <c r="H11" s="27" t="inlineStr">
        <is>
          <t>Ubuntu Linux</t>
        </is>
      </c>
    </row>
    <row r="12">
      <c r="A12" s="23" t="inlineStr">
        <is>
          <t>SAU01DES</t>
        </is>
      </c>
      <c r="B12" s="24" t="inlineStr">
        <is>
          <t>Desarrollo</t>
        </is>
      </c>
      <c r="C12" s="23" t="inlineStr">
        <is>
          <t>Ubuntu 20.04</t>
        </is>
      </c>
      <c r="D12" s="23" t="inlineStr">
        <is>
          <t>5.4.0-152-generic</t>
        </is>
      </c>
      <c r="E12" s="31" t="inlineStr">
        <is>
          <t>SI</t>
        </is>
      </c>
      <c r="F12" s="33" t="inlineStr">
        <is>
          <t>SI</t>
        </is>
      </c>
      <c r="G12" s="34" t="inlineStr">
        <is>
          <t>Reinicio Pendiente</t>
        </is>
      </c>
      <c r="H12" s="23" t="inlineStr">
        <is>
          <t>Ubuntu Linux</t>
        </is>
      </c>
    </row>
    <row r="13">
      <c r="A13" s="27" t="inlineStr">
        <is>
          <t>WEBAPPS01</t>
        </is>
      </c>
      <c r="B13" s="28" t="inlineStr">
        <is>
          <t>Desarrollo</t>
        </is>
      </c>
      <c r="C13" s="27" t="inlineStr">
        <is>
          <t>Ubuntu 20.04</t>
        </is>
      </c>
      <c r="D13" s="27" t="inlineStr">
        <is>
          <t>5.4.0-152-generic</t>
        </is>
      </c>
      <c r="E13" s="31" t="inlineStr">
        <is>
          <t>SI</t>
        </is>
      </c>
      <c r="F13" s="33" t="inlineStr">
        <is>
          <t>SI</t>
        </is>
      </c>
      <c r="G13" s="34" t="inlineStr">
        <is>
          <t>Reinicio Pendiente</t>
        </is>
      </c>
      <c r="H13" s="27" t="inlineStr">
        <is>
          <t>Ubuntu Linux</t>
        </is>
      </c>
    </row>
    <row r="14">
      <c r="A14" s="23" t="inlineStr">
        <is>
          <t>WEBAPPS01DES</t>
        </is>
      </c>
      <c r="B14" s="24" t="inlineStr">
        <is>
          <t>Desarrollo</t>
        </is>
      </c>
      <c r="C14" s="23" t="inlineStr">
        <is>
          <t>Ubuntu 20.04</t>
        </is>
      </c>
      <c r="D14" s="23" t="inlineStr">
        <is>
          <t>5.4.0-152-generic</t>
        </is>
      </c>
      <c r="E14" s="31" t="inlineStr">
        <is>
          <t>SI</t>
        </is>
      </c>
      <c r="F14" s="33" t="inlineStr">
        <is>
          <t>SI</t>
        </is>
      </c>
      <c r="G14" s="34" t="inlineStr">
        <is>
          <t>Reinicio Pendiente</t>
        </is>
      </c>
      <c r="H14" s="23" t="inlineStr">
        <is>
          <t>Ubuntu Linux</t>
        </is>
      </c>
    </row>
    <row r="15">
      <c r="A15" s="27" t="inlineStr">
        <is>
          <t>KABISOFT02</t>
        </is>
      </c>
      <c r="B15" s="28" t="inlineStr">
        <is>
          <t>Desarrollo</t>
        </is>
      </c>
      <c r="C15" s="27" t="inlineStr">
        <is>
          <t>Ubuntu 22.04</t>
        </is>
      </c>
      <c r="D15" s="27" t="inlineStr">
        <is>
          <t>5.15.0-181-generic</t>
        </is>
      </c>
      <c r="E15" s="31" t="inlineStr">
        <is>
          <t>SI</t>
        </is>
      </c>
      <c r="F15" s="33" t="inlineStr">
        <is>
          <t>SI</t>
        </is>
      </c>
      <c r="G15" s="34" t="inlineStr">
        <is>
          <t>Reinicio Pendiente</t>
        </is>
      </c>
      <c r="H15" s="27" t="inlineStr">
        <is>
          <t>Ubuntu Linux</t>
        </is>
      </c>
    </row>
    <row r="16">
      <c r="A16" s="23" t="inlineStr">
        <is>
          <t>PYXISGR01</t>
        </is>
      </c>
      <c r="B16" s="24" t="inlineStr">
        <is>
          <t>Produccion</t>
        </is>
      </c>
      <c r="C16" s="23" t="inlineStr">
        <is>
          <t>CentOS 7.7</t>
        </is>
      </c>
      <c r="D16" s="23" t="inlineStr">
        <is>
          <t>3.10.0-1062.1.2.el7.x86_64</t>
        </is>
      </c>
      <c r="E16" s="31" t="inlineStr">
        <is>
          <t>SI</t>
        </is>
      </c>
      <c r="F16" s="25" t="inlineStr">
        <is>
          <t>NO</t>
        </is>
      </c>
      <c r="G16" s="32" t="inlineStr">
        <is>
          <t>Parche Disponible</t>
        </is>
      </c>
      <c r="H16" s="23" t="inlineStr">
        <is>
          <t>CentOS Linux</t>
        </is>
      </c>
    </row>
    <row r="17">
      <c r="A17" s="27" t="inlineStr">
        <is>
          <t>HSPEIBI01</t>
        </is>
      </c>
      <c r="B17" s="28" t="inlineStr">
        <is>
          <t>Produccion</t>
        </is>
      </c>
      <c r="C17" s="27" t="inlineStr">
        <is>
          <t>OracleLinux 8.4</t>
        </is>
      </c>
      <c r="D17" s="27" t="inlineStr">
        <is>
          <t>5.4.17-2102.203.6.el8uek.x86_64</t>
        </is>
      </c>
      <c r="E17" s="31" t="inlineStr">
        <is>
          <t>SI</t>
        </is>
      </c>
      <c r="F17" s="33" t="inlineStr">
        <is>
          <t>SI</t>
        </is>
      </c>
      <c r="G17" s="34" t="inlineStr">
        <is>
          <t>Reinicio Pendiente</t>
        </is>
      </c>
      <c r="H17" s="27" t="inlineStr">
        <is>
          <t>Oracle Linux</t>
        </is>
      </c>
    </row>
    <row r="18">
      <c r="A18" s="23" t="inlineStr">
        <is>
          <t>JARTUM</t>
        </is>
      </c>
      <c r="B18" s="24" t="inlineStr">
        <is>
          <t>Produccion</t>
        </is>
      </c>
      <c r="C18" s="23" t="inlineStr">
        <is>
          <t>SLES 12 SP5</t>
        </is>
      </c>
      <c r="D18" s="23" t="inlineStr">
        <is>
          <t>4.12.14-122.110-default</t>
        </is>
      </c>
      <c r="E18" s="31" t="inlineStr">
        <is>
          <t>SI</t>
        </is>
      </c>
      <c r="F18" s="25" t="inlineStr">
        <is>
          <t>NO</t>
        </is>
      </c>
      <c r="G18" s="32" t="inlineStr">
        <is>
          <t>Parche Disponible</t>
        </is>
      </c>
      <c r="H18" s="23" t="inlineStr">
        <is>
          <t>SUSE Linux Enterprise (SLES)</t>
        </is>
      </c>
    </row>
    <row r="19">
      <c r="A19" s="27" t="inlineStr">
        <is>
          <t>WEBHSP04</t>
        </is>
      </c>
      <c r="B19" s="28" t="inlineStr">
        <is>
          <t>Produccion</t>
        </is>
      </c>
      <c r="C19" s="27" t="inlineStr">
        <is>
          <t>SLES 15 SP1</t>
        </is>
      </c>
      <c r="D19" s="27" t="inlineStr">
        <is>
          <t>4.12.14-197.56-default</t>
        </is>
      </c>
      <c r="E19" s="31" t="inlineStr">
        <is>
          <t>SI</t>
        </is>
      </c>
      <c r="F19" s="29" t="inlineStr">
        <is>
          <t>NO</t>
        </is>
      </c>
      <c r="G19" s="32" t="inlineStr">
        <is>
          <t>Parche Disponible</t>
        </is>
      </c>
      <c r="H19" s="27" t="inlineStr">
        <is>
          <t>SUSE Linux Enterprise (SLES)</t>
        </is>
      </c>
    </row>
    <row r="20">
      <c r="A20" s="23" t="inlineStr">
        <is>
          <t>SETAPP01</t>
        </is>
      </c>
      <c r="B20" s="24" t="inlineStr">
        <is>
          <t>Produccion</t>
        </is>
      </c>
      <c r="C20" s="23" t="inlineStr">
        <is>
          <t>SLES 15 SP4</t>
        </is>
      </c>
      <c r="D20" s="23" t="inlineStr">
        <is>
          <t>5.14.21-150400.24.38-default</t>
        </is>
      </c>
      <c r="E20" s="31" t="inlineStr">
        <is>
          <t>SI</t>
        </is>
      </c>
      <c r="F20" s="25" t="inlineStr">
        <is>
          <t>NO</t>
        </is>
      </c>
      <c r="G20" s="32" t="inlineStr">
        <is>
          <t>Parche Disponible</t>
        </is>
      </c>
      <c r="H20" s="23" t="inlineStr">
        <is>
          <t>SUSE Linux Enterprise (SLES)</t>
        </is>
      </c>
    </row>
    <row r="21">
      <c r="A21" s="27" t="inlineStr">
        <is>
          <t>INTRANETHSP03</t>
        </is>
      </c>
      <c r="B21" s="28" t="inlineStr">
        <is>
          <t>Produccion</t>
        </is>
      </c>
      <c r="C21" s="27" t="inlineStr">
        <is>
          <t>SLES 15 SP6</t>
        </is>
      </c>
      <c r="D21" s="27" t="inlineStr">
        <is>
          <t>6.4.0-150600.23.30-default</t>
        </is>
      </c>
      <c r="E21" s="31" t="inlineStr">
        <is>
          <t>SI</t>
        </is>
      </c>
      <c r="F21" s="29" t="inlineStr">
        <is>
          <t>NO</t>
        </is>
      </c>
      <c r="G21" s="32" t="inlineStr">
        <is>
          <t>Parche Disponible</t>
        </is>
      </c>
      <c r="H21" s="27" t="inlineStr">
        <is>
          <t>SUSE Linux Enterprise (SLES)</t>
        </is>
      </c>
    </row>
    <row r="22">
      <c r="A22" s="23" t="inlineStr">
        <is>
          <t>SYCAI01</t>
        </is>
      </c>
      <c r="B22" s="24" t="inlineStr">
        <is>
          <t>Produccion</t>
        </is>
      </c>
      <c r="C22" s="23" t="inlineStr">
        <is>
          <t>SLES 15 SP6</t>
        </is>
      </c>
      <c r="D22" s="23" t="inlineStr">
        <is>
          <t>6.4.0-150600.23.30-default</t>
        </is>
      </c>
      <c r="E22" s="31" t="inlineStr">
        <is>
          <t>SI</t>
        </is>
      </c>
      <c r="F22" s="25" t="inlineStr">
        <is>
          <t>NO</t>
        </is>
      </c>
      <c r="G22" s="32" t="inlineStr">
        <is>
          <t>Parche Disponible</t>
        </is>
      </c>
      <c r="H22" s="23" t="inlineStr">
        <is>
          <t>SUSE Linux Enterprise (SLES)</t>
        </is>
      </c>
    </row>
    <row r="23">
      <c r="A23" s="27" t="inlineStr">
        <is>
          <t>IPQUORUM05</t>
        </is>
      </c>
      <c r="B23" s="28" t="inlineStr">
        <is>
          <t>Produccion</t>
        </is>
      </c>
      <c r="C23" s="27" t="inlineStr">
        <is>
          <t>SLES 15 SP7</t>
        </is>
      </c>
      <c r="D23" s="27" t="inlineStr">
        <is>
          <t>6.4.0-150700.53.19-default</t>
        </is>
      </c>
      <c r="E23" s="31" t="inlineStr">
        <is>
          <t>SI</t>
        </is>
      </c>
      <c r="F23" s="29" t="inlineStr">
        <is>
          <t>NO</t>
        </is>
      </c>
      <c r="G23" s="32" t="inlineStr">
        <is>
          <t>Parche Disponible</t>
        </is>
      </c>
      <c r="H23" s="27" t="inlineStr">
        <is>
          <t>SUSE Linux Enterprise (SLES)</t>
        </is>
      </c>
    </row>
    <row r="24">
      <c r="A24" s="23" t="inlineStr">
        <is>
          <t>IPQUORUM06</t>
        </is>
      </c>
      <c r="B24" s="24" t="inlineStr">
        <is>
          <t>Produccion</t>
        </is>
      </c>
      <c r="C24" s="23" t="inlineStr">
        <is>
          <t>SLES 15 SP7</t>
        </is>
      </c>
      <c r="D24" s="23" t="inlineStr">
        <is>
          <t>6.4.0-150700.53.19-default</t>
        </is>
      </c>
      <c r="E24" s="31" t="inlineStr">
        <is>
          <t>SI</t>
        </is>
      </c>
      <c r="F24" s="25" t="inlineStr">
        <is>
          <t>NO</t>
        </is>
      </c>
      <c r="G24" s="32" t="inlineStr">
        <is>
          <t>Parche Disponible</t>
        </is>
      </c>
      <c r="H24" s="23" t="inlineStr">
        <is>
          <t>SUSE Linux Enterprise (SLES)</t>
        </is>
      </c>
    </row>
    <row r="25">
      <c r="A25" s="27" t="inlineStr">
        <is>
          <t>MOVISALUD01</t>
        </is>
      </c>
      <c r="B25" s="28" t="inlineStr">
        <is>
          <t>Produccion</t>
        </is>
      </c>
      <c r="C25" s="27" t="inlineStr">
        <is>
          <t>SLES 15 SP7</t>
        </is>
      </c>
      <c r="D25" s="27" t="inlineStr">
        <is>
          <t>6.4.0-150700.53.19-default</t>
        </is>
      </c>
      <c r="E25" s="31" t="inlineStr">
        <is>
          <t>SI</t>
        </is>
      </c>
      <c r="F25" s="29" t="inlineStr">
        <is>
          <t>NO</t>
        </is>
      </c>
      <c r="G25" s="32" t="inlineStr">
        <is>
          <t>Parche Disponible</t>
        </is>
      </c>
      <c r="H25" s="27" t="inlineStr">
        <is>
          <t>SUSE Linux Enterprise (SLES)</t>
        </is>
      </c>
    </row>
    <row r="26">
      <c r="A26" s="23" t="inlineStr">
        <is>
          <t>MOVISALUDBD01</t>
        </is>
      </c>
      <c r="B26" s="24" t="inlineStr">
        <is>
          <t>Produccion</t>
        </is>
      </c>
      <c r="C26" s="23" t="inlineStr">
        <is>
          <t>SLES 15 SP7</t>
        </is>
      </c>
      <c r="D26" s="23" t="inlineStr">
        <is>
          <t>6.4.0-150700.53.19-default</t>
        </is>
      </c>
      <c r="E26" s="31" t="inlineStr">
        <is>
          <t>SI</t>
        </is>
      </c>
      <c r="F26" s="25" t="inlineStr">
        <is>
          <t>NO</t>
        </is>
      </c>
      <c r="G26" s="32" t="inlineStr">
        <is>
          <t>Parche Disponible</t>
        </is>
      </c>
      <c r="H26" s="23" t="inlineStr">
        <is>
          <t>SUSE Linux Enterprise (SLES)</t>
        </is>
      </c>
    </row>
    <row r="27">
      <c r="A27" s="27" t="inlineStr">
        <is>
          <t>MOVISALUDINV01</t>
        </is>
      </c>
      <c r="B27" s="28" t="inlineStr">
        <is>
          <t>Produccion</t>
        </is>
      </c>
      <c r="C27" s="27" t="inlineStr">
        <is>
          <t>SLES 15 SP7</t>
        </is>
      </c>
      <c r="D27" s="27" t="inlineStr">
        <is>
          <t>6.4.0-150700.53.19-default</t>
        </is>
      </c>
      <c r="E27" s="31" t="inlineStr">
        <is>
          <t>SI</t>
        </is>
      </c>
      <c r="F27" s="29" t="inlineStr">
        <is>
          <t>NO</t>
        </is>
      </c>
      <c r="G27" s="32" t="inlineStr">
        <is>
          <t>Parche Disponible</t>
        </is>
      </c>
      <c r="H27" s="27" t="inlineStr">
        <is>
          <t>SUSE Linux Enterprise (SLES)</t>
        </is>
      </c>
    </row>
    <row r="28">
      <c r="A28" s="23" t="inlineStr">
        <is>
          <t>MOVISALUDINVSQL</t>
        </is>
      </c>
      <c r="B28" s="24" t="inlineStr">
        <is>
          <t>Produccion</t>
        </is>
      </c>
      <c r="C28" s="23" t="inlineStr">
        <is>
          <t>SLES 15 SP7</t>
        </is>
      </c>
      <c r="D28" s="23" t="inlineStr">
        <is>
          <t>6.4.0-150700.53.19-default</t>
        </is>
      </c>
      <c r="E28" s="31" t="inlineStr">
        <is>
          <t>SI</t>
        </is>
      </c>
      <c r="F28" s="25" t="inlineStr">
        <is>
          <t>NO</t>
        </is>
      </c>
      <c r="G28" s="32" t="inlineStr">
        <is>
          <t>Parche Disponible</t>
        </is>
      </c>
      <c r="H28" s="23" t="inlineStr">
        <is>
          <t>SUSE Linux Enterprise (SLES)</t>
        </is>
      </c>
    </row>
    <row r="29">
      <c r="A29" s="27" t="inlineStr">
        <is>
          <t>OMIQ01</t>
        </is>
      </c>
      <c r="B29" s="28" t="inlineStr">
        <is>
          <t>Produccion</t>
        </is>
      </c>
      <c r="C29" s="27" t="inlineStr">
        <is>
          <t>SLES 15 SP7</t>
        </is>
      </c>
      <c r="D29" s="27" t="inlineStr">
        <is>
          <t>6.4.0-150700.53.40-default</t>
        </is>
      </c>
      <c r="E29" s="31" t="inlineStr">
        <is>
          <t>SI</t>
        </is>
      </c>
      <c r="F29" s="29" t="inlineStr">
        <is>
          <t>NO</t>
        </is>
      </c>
      <c r="G29" s="32" t="inlineStr">
        <is>
          <t>Parche Disponible</t>
        </is>
      </c>
      <c r="H29" s="27" t="inlineStr">
        <is>
          <t>SUSE Linux Enterprise (SLES)</t>
        </is>
      </c>
    </row>
    <row r="30">
      <c r="A30" s="23" t="inlineStr">
        <is>
          <t>OMIQ01SQL</t>
        </is>
      </c>
      <c r="B30" s="24" t="inlineStr">
        <is>
          <t>Produccion</t>
        </is>
      </c>
      <c r="C30" s="23" t="inlineStr">
        <is>
          <t>SLES 15 SP7</t>
        </is>
      </c>
      <c r="D30" s="23" t="inlineStr">
        <is>
          <t>6.4.0-150700.53.25-default</t>
        </is>
      </c>
      <c r="E30" s="31" t="inlineStr">
        <is>
          <t>SI</t>
        </is>
      </c>
      <c r="F30" s="25" t="inlineStr">
        <is>
          <t>NO</t>
        </is>
      </c>
      <c r="G30" s="32" t="inlineStr">
        <is>
          <t>Parche Disponible</t>
        </is>
      </c>
      <c r="H30" s="23" t="inlineStr">
        <is>
          <t>SUSE Linux Enterprise (SLES)</t>
        </is>
      </c>
    </row>
    <row r="31">
      <c r="A31" s="27" t="inlineStr">
        <is>
          <t>Suse-SSB1</t>
        </is>
      </c>
      <c r="B31" s="28" t="inlineStr">
        <is>
          <t>Produccion</t>
        </is>
      </c>
      <c r="C31" s="27" t="inlineStr">
        <is>
          <t>SLES 15 SP7</t>
        </is>
      </c>
      <c r="D31" s="27" t="inlineStr">
        <is>
          <t>6.4.0-150700.53.19-default</t>
        </is>
      </c>
      <c r="E31" s="31" t="inlineStr">
        <is>
          <t>SI</t>
        </is>
      </c>
      <c r="F31" s="29" t="inlineStr">
        <is>
          <t>NO</t>
        </is>
      </c>
      <c r="G31" s="32" t="inlineStr">
        <is>
          <t>Parche Disponible</t>
        </is>
      </c>
      <c r="H31" s="27" t="inlineStr">
        <is>
          <t>SUSE Linux Enterprise (SLES)</t>
        </is>
      </c>
    </row>
    <row r="32">
      <c r="A32" s="23" t="inlineStr">
        <is>
          <t>WEBPUB05</t>
        </is>
      </c>
      <c r="B32" s="24" t="inlineStr">
        <is>
          <t>Produccion</t>
        </is>
      </c>
      <c r="C32" s="23" t="inlineStr">
        <is>
          <t>SLES 15 SP7</t>
        </is>
      </c>
      <c r="D32" s="23" t="inlineStr">
        <is>
          <t>6.4.0-150700.53.19-default</t>
        </is>
      </c>
      <c r="E32" s="31" t="inlineStr">
        <is>
          <t>SI</t>
        </is>
      </c>
      <c r="F32" s="25" t="inlineStr">
        <is>
          <t>NO</t>
        </is>
      </c>
      <c r="G32" s="32" t="inlineStr">
        <is>
          <t>Parche Disponible</t>
        </is>
      </c>
      <c r="H32" s="23" t="inlineStr">
        <is>
          <t>SUSE Linux Enterprise (SLES)</t>
        </is>
      </c>
    </row>
    <row r="33">
      <c r="A33" s="27" t="inlineStr">
        <is>
          <t>exhsp-proxy-pass-2026</t>
        </is>
      </c>
      <c r="B33" s="28" t="inlineStr">
        <is>
          <t>Produccion</t>
        </is>
      </c>
      <c r="C33" s="27" t="inlineStr">
        <is>
          <t>SLES 15 SP7</t>
        </is>
      </c>
      <c r="D33" s="27" t="inlineStr">
        <is>
          <t>6.4.0-150700.53.40-default</t>
        </is>
      </c>
      <c r="E33" s="31" t="inlineStr">
        <is>
          <t>SI</t>
        </is>
      </c>
      <c r="F33" s="29" t="inlineStr">
        <is>
          <t>NO</t>
        </is>
      </c>
      <c r="G33" s="32" t="inlineStr">
        <is>
          <t>Parche Disponible</t>
        </is>
      </c>
      <c r="H33" s="27" t="inlineStr">
        <is>
          <t>SUSE Linux Enterprise (SLES)</t>
        </is>
      </c>
    </row>
    <row r="34">
      <c r="A34" s="23" t="inlineStr">
        <is>
          <t>exhsp-proxy-pass-int-2026</t>
        </is>
      </c>
      <c r="B34" s="24" t="inlineStr">
        <is>
          <t>Produccion</t>
        </is>
      </c>
      <c r="C34" s="23" t="inlineStr">
        <is>
          <t>SLES 15 SP7</t>
        </is>
      </c>
      <c r="D34" s="23" t="inlineStr">
        <is>
          <t>6.4.0-150700.53.40-default</t>
        </is>
      </c>
      <c r="E34" s="31" t="inlineStr">
        <is>
          <t>SI</t>
        </is>
      </c>
      <c r="F34" s="25" t="inlineStr">
        <is>
          <t>NO</t>
        </is>
      </c>
      <c r="G34" s="32" t="inlineStr">
        <is>
          <t>Parche Disponible</t>
        </is>
      </c>
      <c r="H34" s="23" t="inlineStr">
        <is>
          <t>SUSE Linux Enterprise (SLES)</t>
        </is>
      </c>
    </row>
    <row r="35">
      <c r="A35" s="27" t="inlineStr">
        <is>
          <t>suse15sp7</t>
        </is>
      </c>
      <c r="B35" s="28" t="inlineStr">
        <is>
          <t>Produccion</t>
        </is>
      </c>
      <c r="C35" s="27" t="inlineStr">
        <is>
          <t>SLES 15 SP7</t>
        </is>
      </c>
      <c r="D35" s="27" t="inlineStr">
        <is>
          <t>6.4.0-150700.53.19-default</t>
        </is>
      </c>
      <c r="E35" s="31" t="inlineStr">
        <is>
          <t>SI</t>
        </is>
      </c>
      <c r="F35" s="29" t="inlineStr">
        <is>
          <t>NO</t>
        </is>
      </c>
      <c r="G35" s="32" t="inlineStr">
        <is>
          <t>Parche Disponible</t>
        </is>
      </c>
      <c r="H35" s="27" t="inlineStr">
        <is>
          <t>SUSE Linux Enterprise (SLES)</t>
        </is>
      </c>
    </row>
    <row r="36">
      <c r="A36" s="23" t="inlineStr">
        <is>
          <t>RECERCA02</t>
        </is>
      </c>
      <c r="B36" s="24" t="inlineStr">
        <is>
          <t>Produccion</t>
        </is>
      </c>
      <c r="C36" s="23" t="inlineStr">
        <is>
          <t>Ubuntu 14.04</t>
        </is>
      </c>
      <c r="D36" s="23" t="inlineStr">
        <is>
          <t>3.13.0-39-generic</t>
        </is>
      </c>
      <c r="E36" s="31" t="inlineStr">
        <is>
          <t>SI</t>
        </is>
      </c>
      <c r="F36" s="25" t="inlineStr">
        <is>
          <t>NO</t>
        </is>
      </c>
      <c r="G36" s="32" t="inlineStr">
        <is>
          <t>Parche Disponible</t>
        </is>
      </c>
      <c r="H36" s="23" t="inlineStr">
        <is>
          <t>Ubuntu Linux</t>
        </is>
      </c>
    </row>
    <row r="37">
      <c r="A37" s="27" t="inlineStr">
        <is>
          <t>ACTIVITI01</t>
        </is>
      </c>
      <c r="B37" s="28" t="inlineStr">
        <is>
          <t>Produccion</t>
        </is>
      </c>
      <c r="C37" s="27" t="inlineStr">
        <is>
          <t>Ubuntu 16.04</t>
        </is>
      </c>
      <c r="D37" s="27" t="inlineStr">
        <is>
          <t>4.4.0-210-generic</t>
        </is>
      </c>
      <c r="E37" s="31" t="inlineStr">
        <is>
          <t>SI</t>
        </is>
      </c>
      <c r="F37" s="29" t="inlineStr">
        <is>
          <t>NO</t>
        </is>
      </c>
      <c r="G37" s="32" t="inlineStr">
        <is>
          <t>Parche Disponible</t>
        </is>
      </c>
      <c r="H37" s="27" t="inlineStr">
        <is>
          <t>Ubuntu Linux</t>
        </is>
      </c>
    </row>
    <row r="38">
      <c r="A38" s="23" t="inlineStr">
        <is>
          <t>DOKUFLEX01</t>
        </is>
      </c>
      <c r="B38" s="24" t="inlineStr">
        <is>
          <t>Produccion</t>
        </is>
      </c>
      <c r="C38" s="23" t="inlineStr">
        <is>
          <t>Ubuntu 16.04</t>
        </is>
      </c>
      <c r="D38" s="23" t="inlineStr">
        <is>
          <t>4.4.0-210-generic</t>
        </is>
      </c>
      <c r="E38" s="31" t="inlineStr">
        <is>
          <t>SI</t>
        </is>
      </c>
      <c r="F38" s="25" t="inlineStr">
        <is>
          <t>NO</t>
        </is>
      </c>
      <c r="G38" s="32" t="inlineStr">
        <is>
          <t>Parche Disponible</t>
        </is>
      </c>
      <c r="H38" s="23" t="inlineStr">
        <is>
          <t>Ubuntu Linux</t>
        </is>
      </c>
    </row>
    <row r="39">
      <c r="A39" s="27" t="inlineStr">
        <is>
          <t>DOKUFLEX01CONS</t>
        </is>
      </c>
      <c r="B39" s="28" t="inlineStr">
        <is>
          <t>Produccion</t>
        </is>
      </c>
      <c r="C39" s="27" t="inlineStr">
        <is>
          <t>Ubuntu 16.04</t>
        </is>
      </c>
      <c r="D39" s="27" t="inlineStr">
        <is>
          <t>4.4.0-210-generic</t>
        </is>
      </c>
      <c r="E39" s="31" t="inlineStr">
        <is>
          <t>SI</t>
        </is>
      </c>
      <c r="F39" s="29" t="inlineStr">
        <is>
          <t>NO</t>
        </is>
      </c>
      <c r="G39" s="32" t="inlineStr">
        <is>
          <t>Parche Disponible</t>
        </is>
      </c>
      <c r="H39" s="27" t="inlineStr">
        <is>
          <t>Ubuntu Linux</t>
        </is>
      </c>
    </row>
    <row r="40">
      <c r="A40" s="23" t="inlineStr">
        <is>
          <t>SAU01</t>
        </is>
      </c>
      <c r="B40" s="24" t="inlineStr">
        <is>
          <t>Produccion</t>
        </is>
      </c>
      <c r="C40" s="23" t="inlineStr">
        <is>
          <t>Ubuntu 20.04</t>
        </is>
      </c>
      <c r="D40" s="23" t="inlineStr">
        <is>
          <t>5.4.0-216-generic</t>
        </is>
      </c>
      <c r="E40" s="31" t="inlineStr">
        <is>
          <t>SI</t>
        </is>
      </c>
      <c r="F40" s="25" t="inlineStr">
        <is>
          <t>NO</t>
        </is>
      </c>
      <c r="G40" s="32" t="inlineStr">
        <is>
          <t>Parche Disponible</t>
        </is>
      </c>
      <c r="H40" s="23" t="inlineStr">
        <is>
          <t>Ubuntu Linux</t>
        </is>
      </c>
    </row>
    <row r="41">
      <c r="A41" s="27" t="inlineStr">
        <is>
          <t>APPWMP01</t>
        </is>
      </c>
      <c r="B41" s="28" t="inlineStr">
        <is>
          <t>Produccion</t>
        </is>
      </c>
      <c r="C41" s="27" t="inlineStr">
        <is>
          <t>Ubuntu 22.04</t>
        </is>
      </c>
      <c r="D41" s="27" t="inlineStr">
        <is>
          <t>5.15.0-140-generic</t>
        </is>
      </c>
      <c r="E41" s="31" t="inlineStr">
        <is>
          <t>SI</t>
        </is>
      </c>
      <c r="F41" s="33" t="inlineStr">
        <is>
          <t>SI</t>
        </is>
      </c>
      <c r="G41" s="34" t="inlineStr">
        <is>
          <t>Reinicio Pendiente</t>
        </is>
      </c>
      <c r="H41" s="27" t="inlineStr">
        <is>
          <t>Ubuntu Linux</t>
        </is>
      </c>
    </row>
    <row r="42">
      <c r="A42" s="23" t="inlineStr">
        <is>
          <t>KABISOFT01</t>
        </is>
      </c>
      <c r="B42" s="24" t="inlineStr">
        <is>
          <t>Produccion</t>
        </is>
      </c>
      <c r="C42" s="23" t="inlineStr">
        <is>
          <t>Ubuntu 22.04</t>
        </is>
      </c>
      <c r="D42" s="23" t="inlineStr">
        <is>
          <t>5.15.0-181-generic</t>
        </is>
      </c>
      <c r="E42" s="31" t="inlineStr">
        <is>
          <t>SI</t>
        </is>
      </c>
      <c r="F42" s="33" t="inlineStr">
        <is>
          <t>SI</t>
        </is>
      </c>
      <c r="G42" s="34" t="inlineStr">
        <is>
          <t>Reinicio Pendiente</t>
        </is>
      </c>
      <c r="H42" s="23" t="inlineStr">
        <is>
          <t>Ubuntu Linux</t>
        </is>
      </c>
    </row>
    <row r="43">
      <c r="A43" s="27" t="inlineStr">
        <is>
          <t>MOODLE</t>
        </is>
      </c>
      <c r="B43" s="28" t="inlineStr">
        <is>
          <t>Produccion</t>
        </is>
      </c>
      <c r="C43" s="27" t="inlineStr">
        <is>
          <t>Ubuntu 22.04</t>
        </is>
      </c>
      <c r="D43" s="27" t="inlineStr">
        <is>
          <t>5.15.0-122-generic</t>
        </is>
      </c>
      <c r="E43" s="31" t="inlineStr">
        <is>
          <t>SI</t>
        </is>
      </c>
      <c r="F43" s="33" t="inlineStr">
        <is>
          <t>SI</t>
        </is>
      </c>
      <c r="G43" s="34" t="inlineStr">
        <is>
          <t>Reinicio Pendiente</t>
        </is>
      </c>
      <c r="H43" s="27" t="inlineStr">
        <is>
          <t>Ubuntu Linux</t>
        </is>
      </c>
    </row>
  </sheetData>
  <autoFilter ref="A1:H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5" customWidth="1" min="3" max="3"/>
    <col width="21" customWidth="1" min="4" max="4"/>
    <col width="26" customWidth="1" min="5" max="5"/>
    <col width="22" customWidth="1" min="6" max="6"/>
    <col width="25" customWidth="1" min="7" max="7"/>
    <col width="34" customWidth="1" min="8" max="8"/>
  </cols>
  <sheetData>
    <row r="1">
      <c r="A1" s="13" t="inlineStr">
        <is>
          <t>Servidor</t>
        </is>
      </c>
      <c r="B1" s="13" t="inlineStr">
        <is>
          <t>Entorno</t>
        </is>
      </c>
      <c r="C1" s="13" t="inlineStr">
        <is>
          <t>Distro SO</t>
        </is>
      </c>
      <c r="D1" s="13" t="inlineStr">
        <is>
          <t>Kernel Activo RAM</t>
        </is>
      </c>
      <c r="E1" s="13" t="inlineStr">
        <is>
          <t>Parche Disponible Repo</t>
        </is>
      </c>
      <c r="F1" s="13" t="inlineStr">
        <is>
          <t>Reinicio Pendiente</t>
        </is>
      </c>
      <c r="G1" s="13" t="inlineStr">
        <is>
          <t>Diagnostico Operativo</t>
        </is>
      </c>
      <c r="H1" s="13" t="inlineStr">
        <is>
          <t>Familia SO</t>
        </is>
      </c>
    </row>
    <row r="2">
      <c r="A2" s="23" t="inlineStr">
        <is>
          <t>APPINFURG01DES</t>
        </is>
      </c>
      <c r="B2" s="24" t="inlineStr">
        <is>
          <t>Desarrollo</t>
        </is>
      </c>
      <c r="C2" s="23" t="inlineStr">
        <is>
          <t>No Alcanzable / Error</t>
        </is>
      </c>
      <c r="D2" s="23" t="inlineStr">
        <is>
          <t>-</t>
        </is>
      </c>
      <c r="E2" s="25" t="inlineStr">
        <is>
          <t>NO</t>
        </is>
      </c>
      <c r="F2" s="25" t="inlineStr">
        <is>
          <t>NO</t>
        </is>
      </c>
      <c r="G2" s="30" t="inlineStr">
        <is>
          <t>No Alcanzable / Error</t>
        </is>
      </c>
      <c r="H2" s="23" t="inlineStr">
        <is>
          <t>No Alcanzable / Error Conexión</t>
        </is>
      </c>
    </row>
    <row r="3">
      <c r="A3" s="27" t="inlineStr">
        <is>
          <t>DEVELOPMENT03</t>
        </is>
      </c>
      <c r="B3" s="28" t="inlineStr">
        <is>
          <t>Desarrollo</t>
        </is>
      </c>
      <c r="C3" s="27" t="inlineStr">
        <is>
          <t>No Alcanzable / Error</t>
        </is>
      </c>
      <c r="D3" s="27" t="inlineStr">
        <is>
          <t>-</t>
        </is>
      </c>
      <c r="E3" s="29" t="inlineStr">
        <is>
          <t>NO</t>
        </is>
      </c>
      <c r="F3" s="29" t="inlineStr">
        <is>
          <t>NO</t>
        </is>
      </c>
      <c r="G3" s="30" t="inlineStr">
        <is>
          <t>No Alcanzable / Error</t>
        </is>
      </c>
      <c r="H3" s="27" t="inlineStr">
        <is>
          <t>No Alcanzable / Error Conexión</t>
        </is>
      </c>
    </row>
    <row r="4">
      <c r="A4" s="23" t="inlineStr">
        <is>
          <t>HSPEIDBTEST.82</t>
        </is>
      </c>
      <c r="B4" s="24" t="inlineStr">
        <is>
          <t>Desarrollo</t>
        </is>
      </c>
      <c r="C4" s="23" t="inlineStr">
        <is>
          <t>No Alcanzable / Error</t>
        </is>
      </c>
      <c r="D4" s="23" t="inlineStr">
        <is>
          <t>-</t>
        </is>
      </c>
      <c r="E4" s="25" t="inlineStr">
        <is>
          <t>NO</t>
        </is>
      </c>
      <c r="F4" s="25" t="inlineStr">
        <is>
          <t>NO</t>
        </is>
      </c>
      <c r="G4" s="30" t="inlineStr">
        <is>
          <t>No Alcanzable / Error</t>
        </is>
      </c>
      <c r="H4" s="23" t="inlineStr">
        <is>
          <t>No Alcanzable / Error Conexión</t>
        </is>
      </c>
    </row>
    <row r="5">
      <c r="A5" s="27" t="inlineStr">
        <is>
          <t>INTRAHSP03DES</t>
        </is>
      </c>
      <c r="B5" s="28" t="inlineStr">
        <is>
          <t>Desarrollo</t>
        </is>
      </c>
      <c r="C5" s="27" t="inlineStr">
        <is>
          <t>No Alcanzable / Error</t>
        </is>
      </c>
      <c r="D5" s="27" t="inlineStr">
        <is>
          <t>-</t>
        </is>
      </c>
      <c r="E5" s="29" t="inlineStr">
        <is>
          <t>NO</t>
        </is>
      </c>
      <c r="F5" s="29" t="inlineStr">
        <is>
          <t>NO</t>
        </is>
      </c>
      <c r="G5" s="30" t="inlineStr">
        <is>
          <t>No Alcanzable / Error</t>
        </is>
      </c>
      <c r="H5" s="27" t="inlineStr">
        <is>
          <t>No Alcanzable / Error Conexión</t>
        </is>
      </c>
    </row>
    <row r="6">
      <c r="A6" s="23" t="inlineStr">
        <is>
          <t>WEBPUB05DES</t>
        </is>
      </c>
      <c r="B6" s="24" t="inlineStr">
        <is>
          <t>Desarrollo</t>
        </is>
      </c>
      <c r="C6" s="23" t="inlineStr">
        <is>
          <t>No Alcanzable / Error</t>
        </is>
      </c>
      <c r="D6" s="23" t="inlineStr">
        <is>
          <t>-</t>
        </is>
      </c>
      <c r="E6" s="25" t="inlineStr">
        <is>
          <t>NO</t>
        </is>
      </c>
      <c r="F6" s="25" t="inlineStr">
        <is>
          <t>NO</t>
        </is>
      </c>
      <c r="G6" s="30" t="inlineStr">
        <is>
          <t>No Alcanzable / Error</t>
        </is>
      </c>
      <c r="H6" s="23" t="inlineStr">
        <is>
          <t>No Alcanzable / Error Conexión</t>
        </is>
      </c>
    </row>
    <row r="7">
      <c r="A7" s="27" t="inlineStr">
        <is>
          <t>ACUNTIA03</t>
        </is>
      </c>
      <c r="B7" s="28" t="inlineStr">
        <is>
          <t>Produccion</t>
        </is>
      </c>
      <c r="C7" s="27" t="inlineStr">
        <is>
          <t>No Alcanzable / Error</t>
        </is>
      </c>
      <c r="D7" s="27" t="inlineStr">
        <is>
          <t>-</t>
        </is>
      </c>
      <c r="E7" s="29" t="inlineStr">
        <is>
          <t>NO</t>
        </is>
      </c>
      <c r="F7" s="29" t="inlineStr">
        <is>
          <t>NO</t>
        </is>
      </c>
      <c r="G7" s="30" t="inlineStr">
        <is>
          <t>No Alcanzable / Error</t>
        </is>
      </c>
      <c r="H7" s="27" t="inlineStr">
        <is>
          <t>No Alcanzable / Error Conexión</t>
        </is>
      </c>
    </row>
    <row r="8">
      <c r="A8" s="23" t="inlineStr">
        <is>
          <t>ALINITY02</t>
        </is>
      </c>
      <c r="B8" s="24" t="inlineStr">
        <is>
          <t>Produccion</t>
        </is>
      </c>
      <c r="C8" s="23" t="inlineStr">
        <is>
          <t>No Alcanzable / Error</t>
        </is>
      </c>
      <c r="D8" s="23" t="inlineStr">
        <is>
          <t>-</t>
        </is>
      </c>
      <c r="E8" s="25" t="inlineStr">
        <is>
          <t>NO</t>
        </is>
      </c>
      <c r="F8" s="25" t="inlineStr">
        <is>
          <t>NO</t>
        </is>
      </c>
      <c r="G8" s="30" t="inlineStr">
        <is>
          <t>No Alcanzable / Error</t>
        </is>
      </c>
      <c r="H8" s="23" t="inlineStr">
        <is>
          <t>No Alcanzable / Error Conexión</t>
        </is>
      </c>
    </row>
    <row r="9">
      <c r="A9" s="27" t="inlineStr">
        <is>
          <t>APPINFURG01</t>
        </is>
      </c>
      <c r="B9" s="28" t="inlineStr">
        <is>
          <t>Produccion</t>
        </is>
      </c>
      <c r="C9" s="27" t="inlineStr">
        <is>
          <t>No Alcanzable / Error</t>
        </is>
      </c>
      <c r="D9" s="27" t="inlineStr">
        <is>
          <t>-</t>
        </is>
      </c>
      <c r="E9" s="29" t="inlineStr">
        <is>
          <t>NO</t>
        </is>
      </c>
      <c r="F9" s="29" t="inlineStr">
        <is>
          <t>NO</t>
        </is>
      </c>
      <c r="G9" s="30" t="inlineStr">
        <is>
          <t>No Alcanzable / Error</t>
        </is>
      </c>
      <c r="H9" s="27" t="inlineStr">
        <is>
          <t>No Alcanzable / Error Conexión</t>
        </is>
      </c>
    </row>
    <row r="10">
      <c r="A10" s="23" t="inlineStr">
        <is>
          <t>AWSGATEWAY</t>
        </is>
      </c>
      <c r="B10" s="24" t="inlineStr">
        <is>
          <t>Produccion</t>
        </is>
      </c>
      <c r="C10" s="23" t="inlineStr">
        <is>
          <t>No Alcanzable / Error</t>
        </is>
      </c>
      <c r="D10" s="23" t="inlineStr">
        <is>
          <t>-</t>
        </is>
      </c>
      <c r="E10" s="25" t="inlineStr">
        <is>
          <t>NO</t>
        </is>
      </c>
      <c r="F10" s="25" t="inlineStr">
        <is>
          <t>NO</t>
        </is>
      </c>
      <c r="G10" s="30" t="inlineStr">
        <is>
          <t>No Alcanzable / Error</t>
        </is>
      </c>
      <c r="H10" s="23" t="inlineStr">
        <is>
          <t>No Alcanzable / Error Conexión</t>
        </is>
      </c>
    </row>
    <row r="11">
      <c r="A11" s="27" t="inlineStr">
        <is>
          <t>Auckland</t>
        </is>
      </c>
      <c r="B11" s="28" t="inlineStr">
        <is>
          <t>Produccion</t>
        </is>
      </c>
      <c r="C11" s="27" t="inlineStr">
        <is>
          <t>No Alcanzable / Error</t>
        </is>
      </c>
      <c r="D11" s="27" t="inlineStr">
        <is>
          <t>-</t>
        </is>
      </c>
      <c r="E11" s="29" t="inlineStr">
        <is>
          <t>NO</t>
        </is>
      </c>
      <c r="F11" s="29" t="inlineStr">
        <is>
          <t>NO</t>
        </is>
      </c>
      <c r="G11" s="30" t="inlineStr">
        <is>
          <t>No Alcanzable / Error</t>
        </is>
      </c>
      <c r="H11" s="27" t="inlineStr">
        <is>
          <t>No Alcanzable / Error Conexión</t>
        </is>
      </c>
    </row>
    <row r="12">
      <c r="A12" s="23" t="inlineStr">
        <is>
          <t>Barcelones</t>
        </is>
      </c>
      <c r="B12" s="24" t="inlineStr">
        <is>
          <t>Produccion</t>
        </is>
      </c>
      <c r="C12" s="23" t="inlineStr">
        <is>
          <t>No Alcanzable / Error</t>
        </is>
      </c>
      <c r="D12" s="23" t="inlineStr">
        <is>
          <t>-</t>
        </is>
      </c>
      <c r="E12" s="25" t="inlineStr">
        <is>
          <t>NO</t>
        </is>
      </c>
      <c r="F12" s="25" t="inlineStr">
        <is>
          <t>NO</t>
        </is>
      </c>
      <c r="G12" s="30" t="inlineStr">
        <is>
          <t>No Alcanzable / Error</t>
        </is>
      </c>
      <c r="H12" s="23" t="inlineStr">
        <is>
          <t>No Alcanzable / Error Conexión</t>
        </is>
      </c>
    </row>
    <row r="13">
      <c r="A13" s="27" t="inlineStr">
        <is>
          <t>ENIGMA01_restore</t>
        </is>
      </c>
      <c r="B13" s="28" t="inlineStr">
        <is>
          <t>Produccion</t>
        </is>
      </c>
      <c r="C13" s="27" t="inlineStr">
        <is>
          <t>No Alcanzable / Error</t>
        </is>
      </c>
      <c r="D13" s="27" t="inlineStr">
        <is>
          <t>-</t>
        </is>
      </c>
      <c r="E13" s="29" t="inlineStr">
        <is>
          <t>NO</t>
        </is>
      </c>
      <c r="F13" s="29" t="inlineStr">
        <is>
          <t>NO</t>
        </is>
      </c>
      <c r="G13" s="30" t="inlineStr">
        <is>
          <t>No Alcanzable / Error</t>
        </is>
      </c>
      <c r="H13" s="27" t="inlineStr">
        <is>
          <t>No Alcanzable / Error Conexión</t>
        </is>
      </c>
    </row>
    <row r="14">
      <c r="A14" s="23" t="inlineStr">
        <is>
          <t>EXHSP-PROXY-PASS-INT_CLONE</t>
        </is>
      </c>
      <c r="B14" s="24" t="inlineStr">
        <is>
          <t>Produccion</t>
        </is>
      </c>
      <c r="C14" s="23" t="inlineStr">
        <is>
          <t>No Alcanzable / Error</t>
        </is>
      </c>
      <c r="D14" s="23" t="inlineStr">
        <is>
          <t>-</t>
        </is>
      </c>
      <c r="E14" s="25" t="inlineStr">
        <is>
          <t>NO</t>
        </is>
      </c>
      <c r="F14" s="25" t="inlineStr">
        <is>
          <t>NO</t>
        </is>
      </c>
      <c r="G14" s="30" t="inlineStr">
        <is>
          <t>No Alcanzable / Error</t>
        </is>
      </c>
      <c r="H14" s="23" t="inlineStr">
        <is>
          <t>No Alcanzable / Error Conexión</t>
        </is>
      </c>
    </row>
    <row r="15">
      <c r="A15" s="27" t="inlineStr">
        <is>
          <t>FLINKISO01</t>
        </is>
      </c>
      <c r="B15" s="28" t="inlineStr">
        <is>
          <t>Produccion</t>
        </is>
      </c>
      <c r="C15" s="27" t="inlineStr">
        <is>
          <t>No Alcanzable / Error</t>
        </is>
      </c>
      <c r="D15" s="27" t="inlineStr">
        <is>
          <t>-</t>
        </is>
      </c>
      <c r="E15" s="29" t="inlineStr">
        <is>
          <t>NO</t>
        </is>
      </c>
      <c r="F15" s="29" t="inlineStr">
        <is>
          <t>NO</t>
        </is>
      </c>
      <c r="G15" s="30" t="inlineStr">
        <is>
          <t>No Alcanzable / Error</t>
        </is>
      </c>
      <c r="H15" s="27" t="inlineStr">
        <is>
          <t>No Alcanzable / Error Conexión</t>
        </is>
      </c>
    </row>
    <row r="16">
      <c r="A16" s="23" t="inlineStr">
        <is>
          <t>GWP03</t>
        </is>
      </c>
      <c r="B16" s="24" t="inlineStr">
        <is>
          <t>Produccion</t>
        </is>
      </c>
      <c r="C16" s="23" t="inlineStr">
        <is>
          <t>No Alcanzable / Error</t>
        </is>
      </c>
      <c r="D16" s="23" t="inlineStr">
        <is>
          <t>-</t>
        </is>
      </c>
      <c r="E16" s="25" t="inlineStr">
        <is>
          <t>NO</t>
        </is>
      </c>
      <c r="F16" s="25" t="inlineStr">
        <is>
          <t>NO</t>
        </is>
      </c>
      <c r="G16" s="30" t="inlineStr">
        <is>
          <t>No Alcanzable / Error</t>
        </is>
      </c>
      <c r="H16" s="23" t="inlineStr">
        <is>
          <t>No Alcanzable / Error Conexión</t>
        </is>
      </c>
    </row>
    <row r="17">
      <c r="A17" s="27" t="inlineStr">
        <is>
          <t>HSPEICONNECT01</t>
        </is>
      </c>
      <c r="B17" s="28" t="inlineStr">
        <is>
          <t>Produccion</t>
        </is>
      </c>
      <c r="C17" s="27" t="inlineStr">
        <is>
          <t>No Alcanzable / Error</t>
        </is>
      </c>
      <c r="D17" s="27" t="inlineStr">
        <is>
          <t>-</t>
        </is>
      </c>
      <c r="E17" s="29" t="inlineStr">
        <is>
          <t>NO</t>
        </is>
      </c>
      <c r="F17" s="29" t="inlineStr">
        <is>
          <t>NO</t>
        </is>
      </c>
      <c r="G17" s="30" t="inlineStr">
        <is>
          <t>No Alcanzable / Error</t>
        </is>
      </c>
      <c r="H17" s="27" t="inlineStr">
        <is>
          <t>No Alcanzable / Error Conexión</t>
        </is>
      </c>
    </row>
    <row r="18">
      <c r="A18" s="23" t="inlineStr">
        <is>
          <t>HSPEICS.82</t>
        </is>
      </c>
      <c r="B18" s="24" t="inlineStr">
        <is>
          <t>Produccion</t>
        </is>
      </c>
      <c r="C18" s="23" t="inlineStr">
        <is>
          <t>No Alcanzable / Error</t>
        </is>
      </c>
      <c r="D18" s="23" t="inlineStr">
        <is>
          <t>-</t>
        </is>
      </c>
      <c r="E18" s="25" t="inlineStr">
        <is>
          <t>NO</t>
        </is>
      </c>
      <c r="F18" s="25" t="inlineStr">
        <is>
          <t>NO</t>
        </is>
      </c>
      <c r="G18" s="30" t="inlineStr">
        <is>
          <t>No Alcanzable / Error</t>
        </is>
      </c>
      <c r="H18" s="23" t="inlineStr">
        <is>
          <t>No Alcanzable / Error Conexión</t>
        </is>
      </c>
    </row>
    <row r="19">
      <c r="A19" s="27" t="inlineStr">
        <is>
          <t>HSPEIDB01.82</t>
        </is>
      </c>
      <c r="B19" s="28" t="inlineStr">
        <is>
          <t>Produccion</t>
        </is>
      </c>
      <c r="C19" s="27" t="inlineStr">
        <is>
          <t>No Alcanzable / Error</t>
        </is>
      </c>
      <c r="D19" s="27" t="inlineStr">
        <is>
          <t>-</t>
        </is>
      </c>
      <c r="E19" s="29" t="inlineStr">
        <is>
          <t>NO</t>
        </is>
      </c>
      <c r="F19" s="29" t="inlineStr">
        <is>
          <t>NO</t>
        </is>
      </c>
      <c r="G19" s="30" t="inlineStr">
        <is>
          <t>No Alcanzable / Error</t>
        </is>
      </c>
      <c r="H19" s="27" t="inlineStr">
        <is>
          <t>No Alcanzable / Error Conexión</t>
        </is>
      </c>
    </row>
    <row r="20">
      <c r="A20" s="23" t="inlineStr">
        <is>
          <t>HSPEIGIT01</t>
        </is>
      </c>
      <c r="B20" s="24" t="inlineStr">
        <is>
          <t>Produccion</t>
        </is>
      </c>
      <c r="C20" s="23" t="inlineStr">
        <is>
          <t>No Alcanzable / Error</t>
        </is>
      </c>
      <c r="D20" s="23" t="inlineStr">
        <is>
          <t>-</t>
        </is>
      </c>
      <c r="E20" s="25" t="inlineStr">
        <is>
          <t>NO</t>
        </is>
      </c>
      <c r="F20" s="25" t="inlineStr">
        <is>
          <t>NO</t>
        </is>
      </c>
      <c r="G20" s="30" t="inlineStr">
        <is>
          <t>No Alcanzable / Error</t>
        </is>
      </c>
      <c r="H20" s="23" t="inlineStr">
        <is>
          <t>No Alcanzable / Error Conexión</t>
        </is>
      </c>
    </row>
    <row r="21">
      <c r="A21" s="27" t="inlineStr">
        <is>
          <t>HSPEIGP01</t>
        </is>
      </c>
      <c r="B21" s="28" t="inlineStr">
        <is>
          <t>Produccion</t>
        </is>
      </c>
      <c r="C21" s="27" t="inlineStr">
        <is>
          <t>No Alcanzable / Error</t>
        </is>
      </c>
      <c r="D21" s="27" t="inlineStr">
        <is>
          <t>-</t>
        </is>
      </c>
      <c r="E21" s="29" t="inlineStr">
        <is>
          <t>NO</t>
        </is>
      </c>
      <c r="F21" s="29" t="inlineStr">
        <is>
          <t>NO</t>
        </is>
      </c>
      <c r="G21" s="30" t="inlineStr">
        <is>
          <t>No Alcanzable / Error</t>
        </is>
      </c>
      <c r="H21" s="27" t="inlineStr">
        <is>
          <t>No Alcanzable / Error Conexión</t>
        </is>
      </c>
    </row>
    <row r="22">
      <c r="A22" s="23" t="inlineStr">
        <is>
          <t>HSPEIXERO01.82</t>
        </is>
      </c>
      <c r="B22" s="24" t="inlineStr">
        <is>
          <t>Produccion</t>
        </is>
      </c>
      <c r="C22" s="23" t="inlineStr">
        <is>
          <t>No Alcanzable / Error</t>
        </is>
      </c>
      <c r="D22" s="23" t="inlineStr">
        <is>
          <t>-</t>
        </is>
      </c>
      <c r="E22" s="25" t="inlineStr">
        <is>
          <t>NO</t>
        </is>
      </c>
      <c r="F22" s="25" t="inlineStr">
        <is>
          <t>NO</t>
        </is>
      </c>
      <c r="G22" s="30" t="inlineStr">
        <is>
          <t>No Alcanzable / Error</t>
        </is>
      </c>
      <c r="H22" s="23" t="inlineStr">
        <is>
          <t>No Alcanzable / Error Conexión</t>
        </is>
      </c>
    </row>
    <row r="23">
      <c r="A23" s="27" t="inlineStr">
        <is>
          <t>Intranet01</t>
        </is>
      </c>
      <c r="B23" s="28" t="inlineStr">
        <is>
          <t>Produccion</t>
        </is>
      </c>
      <c r="C23" s="27" t="inlineStr">
        <is>
          <t>No Alcanzable / Error</t>
        </is>
      </c>
      <c r="D23" s="27" t="inlineStr">
        <is>
          <t>-</t>
        </is>
      </c>
      <c r="E23" s="29" t="inlineStr">
        <is>
          <t>NO</t>
        </is>
      </c>
      <c r="F23" s="29" t="inlineStr">
        <is>
          <t>NO</t>
        </is>
      </c>
      <c r="G23" s="30" t="inlineStr">
        <is>
          <t>No Alcanzable / Error</t>
        </is>
      </c>
      <c r="H23" s="27" t="inlineStr">
        <is>
          <t>No Alcanzable / Error Conexión</t>
        </is>
      </c>
    </row>
    <row r="24">
      <c r="A24" s="23" t="inlineStr">
        <is>
          <t>Intranet02</t>
        </is>
      </c>
      <c r="B24" s="24" t="inlineStr">
        <is>
          <t>Produccion</t>
        </is>
      </c>
      <c r="C24" s="23" t="inlineStr">
        <is>
          <t>No Alcanzable / Error</t>
        </is>
      </c>
      <c r="D24" s="23" t="inlineStr">
        <is>
          <t>-</t>
        </is>
      </c>
      <c r="E24" s="25" t="inlineStr">
        <is>
          <t>NO</t>
        </is>
      </c>
      <c r="F24" s="25" t="inlineStr">
        <is>
          <t>NO</t>
        </is>
      </c>
      <c r="G24" s="30" t="inlineStr">
        <is>
          <t>No Alcanzable / Error</t>
        </is>
      </c>
      <c r="H24" s="23" t="inlineStr">
        <is>
          <t>No Alcanzable / Error Conexión</t>
        </is>
      </c>
    </row>
    <row r="25">
      <c r="A25" s="27" t="inlineStr">
        <is>
          <t>MDM01</t>
        </is>
      </c>
      <c r="B25" s="28" t="inlineStr">
        <is>
          <t>Produccion</t>
        </is>
      </c>
      <c r="C25" s="27" t="inlineStr">
        <is>
          <t>No Alcanzable / Error</t>
        </is>
      </c>
      <c r="D25" s="27" t="inlineStr">
        <is>
          <t>-</t>
        </is>
      </c>
      <c r="E25" s="29" t="inlineStr">
        <is>
          <t>NO</t>
        </is>
      </c>
      <c r="F25" s="29" t="inlineStr">
        <is>
          <t>NO</t>
        </is>
      </c>
      <c r="G25" s="30" t="inlineStr">
        <is>
          <t>No Alcanzable / Error</t>
        </is>
      </c>
      <c r="H25" s="27" t="inlineStr">
        <is>
          <t>No Alcanzable / Error Conexión</t>
        </is>
      </c>
    </row>
    <row r="26">
      <c r="A26" s="23" t="inlineStr">
        <is>
          <t>PATRIMONI</t>
        </is>
      </c>
      <c r="B26" s="24" t="inlineStr">
        <is>
          <t>Produccion</t>
        </is>
      </c>
      <c r="C26" s="23" t="inlineStr">
        <is>
          <t>No Alcanzable / Error</t>
        </is>
      </c>
      <c r="D26" s="23" t="inlineStr">
        <is>
          <t>-</t>
        </is>
      </c>
      <c r="E26" s="25" t="inlineStr">
        <is>
          <t>NO</t>
        </is>
      </c>
      <c r="F26" s="25" t="inlineStr">
        <is>
          <t>NO</t>
        </is>
      </c>
      <c r="G26" s="30" t="inlineStr">
        <is>
          <t>No Alcanzable / Error</t>
        </is>
      </c>
      <c r="H26" s="23" t="inlineStr">
        <is>
          <t>No Alcanzable / Error Conexión</t>
        </is>
      </c>
    </row>
    <row r="27">
      <c r="A27" s="27" t="inlineStr">
        <is>
          <t>PYXIS01</t>
        </is>
      </c>
      <c r="B27" s="28" t="inlineStr">
        <is>
          <t>Produccion</t>
        </is>
      </c>
      <c r="C27" s="27" t="inlineStr">
        <is>
          <t>No Alcanzable / Error</t>
        </is>
      </c>
      <c r="D27" s="27" t="inlineStr">
        <is>
          <t>-</t>
        </is>
      </c>
      <c r="E27" s="29" t="inlineStr">
        <is>
          <t>NO</t>
        </is>
      </c>
      <c r="F27" s="29" t="inlineStr">
        <is>
          <t>NO</t>
        </is>
      </c>
      <c r="G27" s="30" t="inlineStr">
        <is>
          <t>No Alcanzable / Error</t>
        </is>
      </c>
      <c r="H27" s="27" t="inlineStr">
        <is>
          <t>No Alcanzable / Error Conexión</t>
        </is>
      </c>
    </row>
    <row r="28">
      <c r="A28" s="23" t="inlineStr">
        <is>
          <t>QUENDAANBLICK02</t>
        </is>
      </c>
      <c r="B28" s="24" t="inlineStr">
        <is>
          <t>Produccion</t>
        </is>
      </c>
      <c r="C28" s="23" t="inlineStr">
        <is>
          <t>No Alcanzable / Error</t>
        </is>
      </c>
      <c r="D28" s="23" t="inlineStr">
        <is>
          <t>-</t>
        </is>
      </c>
      <c r="E28" s="25" t="inlineStr">
        <is>
          <t>NO</t>
        </is>
      </c>
      <c r="F28" s="25" t="inlineStr">
        <is>
          <t>NO</t>
        </is>
      </c>
      <c r="G28" s="30" t="inlineStr">
        <is>
          <t>No Alcanzable / Error</t>
        </is>
      </c>
      <c r="H28" s="23" t="inlineStr">
        <is>
          <t>No Alcanzable / Error Conexión</t>
        </is>
      </c>
    </row>
    <row r="29">
      <c r="A29" s="27" t="inlineStr">
        <is>
          <t>SSM01</t>
        </is>
      </c>
      <c r="B29" s="28" t="inlineStr">
        <is>
          <t>Produccion</t>
        </is>
      </c>
      <c r="C29" s="27" t="inlineStr">
        <is>
          <t>No Alcanzable / Error</t>
        </is>
      </c>
      <c r="D29" s="27" t="inlineStr">
        <is>
          <t>-</t>
        </is>
      </c>
      <c r="E29" s="29" t="inlineStr">
        <is>
          <t>NO</t>
        </is>
      </c>
      <c r="F29" s="29" t="inlineStr">
        <is>
          <t>NO</t>
        </is>
      </c>
      <c r="G29" s="30" t="inlineStr">
        <is>
          <t>No Alcanzable / Error</t>
        </is>
      </c>
      <c r="H29" s="27" t="inlineStr">
        <is>
          <t>No Alcanzable / Error Conexión</t>
        </is>
      </c>
    </row>
    <row r="30">
      <c r="A30" s="23" t="inlineStr">
        <is>
          <t>XSOAROTPALOALTO</t>
        </is>
      </c>
      <c r="B30" s="24" t="inlineStr">
        <is>
          <t>Produccion</t>
        </is>
      </c>
      <c r="C30" s="23" t="inlineStr">
        <is>
          <t>No Alcanzable / Error</t>
        </is>
      </c>
      <c r="D30" s="23" t="inlineStr">
        <is>
          <t>-</t>
        </is>
      </c>
      <c r="E30" s="25" t="inlineStr">
        <is>
          <t>NO</t>
        </is>
      </c>
      <c r="F30" s="25" t="inlineStr">
        <is>
          <t>NO</t>
        </is>
      </c>
      <c r="G30" s="30" t="inlineStr">
        <is>
          <t>No Alcanzable / Error</t>
        </is>
      </c>
      <c r="H30" s="23" t="inlineStr">
        <is>
          <t>No Alcanzable / Error Conexión</t>
        </is>
      </c>
    </row>
  </sheetData>
  <autoFilter ref="A1:H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2026-08-31T10:11:00Z</dcterms:created>
  <dcterms:modified xmlns:dcterms="http://purl.org/dc/terms/" xmlns:xsi="http://www.w3.org/2001/XMLSchema-instance" xsi:type="dcterms:W3CDTF">2026-08-31T10:11:10Z</dcterms:modified>
</cp:coreProperties>
</file>