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fs02u02\U\CarpInformatica_Sistemes_Outsourcing_Seguretat\Certificats_SSL\"/>
    </mc:Choice>
  </mc:AlternateContent>
  <bookViews>
    <workbookView xWindow="0" yWindow="495" windowWidth="28770" windowHeight="11100"/>
  </bookViews>
  <sheets>
    <sheet name="generados" sheetId="1" r:id="rId1"/>
    <sheet name="waf" sheetId="2" r:id="rId2"/>
  </sheets>
  <definedNames>
    <definedName name="_xlnm._FilterDatabase" localSheetId="0" hidden="1">generados!$A$1:$J$198</definedName>
    <definedName name="_xlnm._FilterDatabase" localSheetId="1" hidden="1">waf!$A$1:$E$113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9" i="1" l="1"/>
  <c r="I209" i="1" l="1"/>
  <c r="I213" i="1" l="1"/>
  <c r="I207" i="1" l="1"/>
  <c r="I208" i="1"/>
  <c r="I211" i="1"/>
  <c r="I212" i="1"/>
  <c r="I201" i="1"/>
  <c r="I202" i="1"/>
  <c r="I203" i="1"/>
  <c r="I204" i="1"/>
  <c r="I205" i="1"/>
  <c r="I206" i="1"/>
  <c r="I210" i="1"/>
  <c r="I200" i="1" l="1"/>
  <c r="I199" i="1"/>
  <c r="I198" i="1"/>
  <c r="C198" i="1"/>
  <c r="C197" i="1"/>
  <c r="C196" i="1"/>
  <c r="I197" i="1"/>
  <c r="I196" i="1"/>
  <c r="I195" i="1"/>
  <c r="I194" i="1"/>
  <c r="I193" i="1"/>
  <c r="I192" i="1"/>
  <c r="C190" i="1"/>
  <c r="C191" i="1"/>
  <c r="C192" i="1"/>
  <c r="E113" i="2"/>
  <c r="I191" i="1"/>
  <c r="I190" i="1"/>
  <c r="E112" i="2"/>
  <c r="I189" i="1"/>
  <c r="I188" i="1"/>
  <c r="I187" i="1"/>
  <c r="I186" i="1"/>
  <c r="I185" i="1"/>
  <c r="I184" i="1"/>
  <c r="C189" i="1"/>
  <c r="C188" i="1"/>
  <c r="C187" i="1"/>
  <c r="C186" i="1"/>
  <c r="C185" i="1"/>
  <c r="C184" i="1"/>
  <c r="E111" i="2"/>
  <c r="I183" i="1"/>
  <c r="I182" i="1"/>
  <c r="I181" i="1"/>
  <c r="I180" i="1"/>
  <c r="C181" i="1"/>
  <c r="C182" i="1"/>
  <c r="C183" i="1"/>
  <c r="C180" i="1"/>
  <c r="I179" i="1"/>
  <c r="C179" i="1"/>
  <c r="I178" i="1"/>
  <c r="C178" i="1"/>
  <c r="I177" i="1"/>
  <c r="I176" i="1"/>
  <c r="C177" i="1"/>
  <c r="C176" i="1"/>
  <c r="I175" i="1"/>
  <c r="I174" i="1"/>
  <c r="C175" i="1"/>
  <c r="C174" i="1"/>
  <c r="C173" i="1"/>
  <c r="I173" i="1"/>
  <c r="C172" i="1"/>
  <c r="I172" i="1"/>
  <c r="C170" i="1"/>
  <c r="C171" i="1"/>
  <c r="I171" i="1"/>
  <c r="I170" i="1"/>
  <c r="I169" i="1"/>
  <c r="I168" i="1"/>
  <c r="I167" i="1"/>
  <c r="C167" i="1"/>
  <c r="C168" i="1"/>
  <c r="C169" i="1"/>
  <c r="C166" i="1"/>
  <c r="I166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C125" i="1"/>
  <c r="I124" i="1"/>
  <c r="C124" i="1"/>
  <c r="E100" i="2"/>
  <c r="E99" i="2"/>
  <c r="E98" i="2"/>
  <c r="E97" i="2"/>
  <c r="E96" i="2"/>
  <c r="E95" i="2"/>
  <c r="E94" i="2"/>
  <c r="E93" i="2"/>
  <c r="I123" i="1"/>
  <c r="C122" i="1"/>
  <c r="I122" i="1"/>
  <c r="I121" i="1"/>
  <c r="I120" i="1"/>
  <c r="I119" i="1"/>
  <c r="I118" i="1"/>
  <c r="I116" i="1"/>
  <c r="I117" i="1"/>
  <c r="C117" i="1"/>
  <c r="C116" i="1"/>
  <c r="C115" i="1"/>
  <c r="I11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C114" i="1"/>
  <c r="C113" i="1"/>
  <c r="E90" i="2" l="1"/>
  <c r="E91" i="2"/>
  <c r="E92" i="2"/>
  <c r="E58" i="2"/>
  <c r="E84" i="2"/>
  <c r="E89" i="2"/>
  <c r="E83" i="2"/>
  <c r="C109" i="1"/>
  <c r="E75" i="2"/>
  <c r="E42" i="2"/>
  <c r="C10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78" i="1"/>
  <c r="E80" i="2"/>
  <c r="E54" i="2"/>
  <c r="E78" i="2" l="1"/>
  <c r="E79" i="2"/>
  <c r="E74" i="2" l="1"/>
  <c r="E62" i="2"/>
  <c r="E6" i="2"/>
  <c r="E73" i="2"/>
  <c r="E15" i="2"/>
  <c r="E29" i="2"/>
  <c r="E16" i="2"/>
  <c r="E17" i="2"/>
  <c r="E40" i="2"/>
  <c r="E41" i="2"/>
  <c r="E85" i="2"/>
  <c r="E86" i="2"/>
  <c r="E18" i="2"/>
  <c r="E3" i="2"/>
  <c r="E23" i="2"/>
  <c r="E37" i="2"/>
  <c r="E81" i="2"/>
  <c r="E82" i="2"/>
  <c r="E36" i="2"/>
  <c r="E2" i="2"/>
  <c r="E19" i="2"/>
  <c r="E20" i="2"/>
  <c r="E4" i="2"/>
  <c r="E57" i="2"/>
  <c r="E63" i="2"/>
  <c r="E39" i="2"/>
  <c r="E31" i="2"/>
  <c r="E33" i="2"/>
  <c r="E76" i="2"/>
  <c r="E77" i="2"/>
  <c r="E48" i="2"/>
  <c r="E21" i="2"/>
  <c r="E103" i="2"/>
  <c r="E104" i="2"/>
  <c r="E107" i="2"/>
  <c r="E7" i="2"/>
  <c r="E32" i="2"/>
  <c r="E105" i="2"/>
  <c r="E106" i="2"/>
  <c r="E5" i="2"/>
  <c r="E24" i="2"/>
  <c r="E108" i="2"/>
  <c r="E109" i="2"/>
  <c r="E110" i="2"/>
  <c r="E28" i="2"/>
  <c r="E43" i="2"/>
  <c r="E65" i="2"/>
  <c r="E66" i="2"/>
  <c r="E67" i="2"/>
  <c r="E64" i="2"/>
  <c r="E68" i="2"/>
  <c r="E69" i="2"/>
  <c r="E70" i="2"/>
  <c r="E71" i="2"/>
  <c r="E46" i="2"/>
  <c r="E27" i="2"/>
  <c r="E22" i="2"/>
  <c r="E9" i="2"/>
  <c r="E10" i="2"/>
  <c r="E47" i="2"/>
  <c r="E72" i="2"/>
  <c r="E60" i="2"/>
  <c r="E34" i="2"/>
  <c r="E35" i="2"/>
  <c r="E12" i="2"/>
  <c r="E45" i="2"/>
  <c r="E44" i="2"/>
  <c r="E102" i="2"/>
  <c r="E49" i="2"/>
  <c r="E50" i="2"/>
  <c r="E101" i="2"/>
  <c r="E38" i="2"/>
  <c r="E53" i="2"/>
  <c r="E25" i="2"/>
  <c r="E26" i="2"/>
  <c r="E88" i="2"/>
  <c r="E87" i="2"/>
  <c r="E30" i="2"/>
  <c r="E13" i="2"/>
  <c r="E8" i="2"/>
  <c r="E59" i="2"/>
  <c r="E11" i="2"/>
  <c r="E14" i="2"/>
  <c r="E52" i="2"/>
  <c r="E51" i="2"/>
  <c r="E61" i="2"/>
  <c r="E55" i="2"/>
  <c r="E56" i="2"/>
</calcChain>
</file>

<file path=xl/sharedStrings.xml><?xml version="1.0" encoding="utf-8"?>
<sst xmlns="http://schemas.openxmlformats.org/spreadsheetml/2006/main" count="818" uniqueCount="515">
  <si>
    <t>Fecha Petición</t>
  </si>
  <si>
    <t>Caducidad</t>
  </si>
  <si>
    <t>Certificado</t>
  </si>
  <si>
    <t>Peticionario</t>
  </si>
  <si>
    <t>Entregado a:</t>
  </si>
  <si>
    <t>Fecha entrega</t>
  </si>
  <si>
    <t>Caduca</t>
  </si>
  <si>
    <t>Observaciones</t>
  </si>
  <si>
    <t>variablescliniquesapi.integracions.santpau.cat</t>
  </si>
  <si>
    <t>GMiro@santpau.cat</t>
  </si>
  <si>
    <t>estimtrack01.santpau.es</t>
  </si>
  <si>
    <t>Monitorización</t>
  </si>
  <si>
    <t>activitatdocent.santpau.cat</t>
  </si>
  <si>
    <t>campus.santpau.cat</t>
  </si>
  <si>
    <t>centredevalidacions.santpau.cat</t>
  </si>
  <si>
    <t>dokuflex.santpau.cat</t>
  </si>
  <si>
    <t>ecnpl.santpau.cat</t>
  </si>
  <si>
    <t>ehealthvalidationcenter.santpau.cat</t>
  </si>
  <si>
    <t>eui.santpau.cat</t>
  </si>
  <si>
    <t>euipre.santpau.cat</t>
  </si>
  <si>
    <t>intpolymita.santpau.cat</t>
  </si>
  <si>
    <t>intranet.santpau.cat</t>
  </si>
  <si>
    <t>intranetdes.santpau.cat</t>
  </si>
  <si>
    <t>login.santpau.cat</t>
  </si>
  <si>
    <t>logindes.santpau.cat</t>
  </si>
  <si>
    <t>porta.santpau.cat</t>
  </si>
  <si>
    <t>wwwpre.santpau.cat</t>
  </si>
  <si>
    <t>etc.apps.kairos03.santpau.es</t>
  </si>
  <si>
    <t>rsyncbridge.santpau.es</t>
  </si>
  <si>
    <t>accesremot.santpau.cat</t>
  </si>
  <si>
    <t>navifyop01.santpau.es</t>
  </si>
  <si>
    <t>Agus</t>
  </si>
  <si>
    <t>Colocado en web</t>
  </si>
  <si>
    <t>correuhsp.santpau.cat</t>
  </si>
  <si>
    <t>exhsp01.santpau.es</t>
  </si>
  <si>
    <t>Cuidado con el CN</t>
  </si>
  <si>
    <t>exhsp02.santpau.es</t>
  </si>
  <si>
    <t>exhsp03.santpau.es</t>
  </si>
  <si>
    <t>bclink01master.santpau.es</t>
  </si>
  <si>
    <t>bclink01worker.santpau.es</t>
  </si>
  <si>
    <t>bclink02worker.santpau.es</t>
  </si>
  <si>
    <t>bclink03worker.santpau.es</t>
  </si>
  <si>
    <t>patrocinador.santpau.cat</t>
  </si>
  <si>
    <t>Hay que añadir todos los DNS</t>
  </si>
  <si>
    <t>smsapi.integracions.santpau.cat</t>
  </si>
  <si>
    <t>WAF</t>
  </si>
  <si>
    <t>crms03.dspau.santpau.es</t>
  </si>
  <si>
    <t>anibio.santpau.cat</t>
  </si>
  <si>
    <t>Nuevo</t>
  </si>
  <si>
    <t>portal.vpnsslpa.santpau.cat</t>
  </si>
  <si>
    <t>vpnsslpa.santpau.cat</t>
  </si>
  <si>
    <t>dokuflextest.santpau.cat</t>
  </si>
  <si>
    <t>Tiene más de un DNS</t>
  </si>
  <si>
    <t>webhook.santpau.cat</t>
  </si>
  <si>
    <t>Albert Valenzuela</t>
  </si>
  <si>
    <t>admmed.santpau.cat</t>
  </si>
  <si>
    <t>Enric Jardí</t>
  </si>
  <si>
    <t>webappext01.santpau.es</t>
  </si>
  <si>
    <t>canviparaulapas.santpau.cat</t>
  </si>
  <si>
    <t>DNS Name=canviparaulapas.santpau.cat</t>
  </si>
  <si>
    <t>smsnotificacio.santpau.cat</t>
  </si>
  <si>
    <t>DNS Name=smsnotificacio.santpau.cat</t>
  </si>
  <si>
    <t>msappv01.dspau.santpau.es</t>
  </si>
  <si>
    <t>Repositorio</t>
  </si>
  <si>
    <t>gitlab01.santpau.es</t>
  </si>
  <si>
    <t>DevOps</t>
  </si>
  <si>
    <t>El antiguo era autofirmado</t>
  </si>
  <si>
    <t>estimtrack01des.santpau.cat</t>
  </si>
  <si>
    <t>laboratoris.integracions.santpau.cat</t>
  </si>
  <si>
    <t>Guillem Miró</t>
  </si>
  <si>
    <t>apiappinfurgdes.santpau.cat</t>
  </si>
  <si>
    <t>apiappinfurg.santpau.cat</t>
  </si>
  <si>
    <t>totssomsantpau.santpau.cat</t>
  </si>
  <si>
    <t>correuint.santpau.es</t>
  </si>
  <si>
    <t>correuhsp.santpau.es</t>
  </si>
  <si>
    <t>comandesquirofansapi.integracions.santpau.cat</t>
  </si>
  <si>
    <t>serveisrm.santpau.cat</t>
  </si>
  <si>
    <t>docsarxiu.santpau.cat</t>
  </si>
  <si>
    <t>ftpextern.santpau.cat</t>
  </si>
  <si>
    <t>comandesquirofans.integracions.santpau.cat</t>
  </si>
  <si>
    <t>JIRA: HSP-272251</t>
  </si>
  <si>
    <t>iq-reports-services.produccio.apps.kairos03.santpau.es</t>
  </si>
  <si>
    <t>JIRA: HSP-272428</t>
  </si>
  <si>
    <t>iq-reports-services.preproduccio.apps.kairos02.santpau.es</t>
  </si>
  <si>
    <t>connect.dev.apps.kairos02.santpau.es</t>
  </si>
  <si>
    <t>aula.santpau.cat</t>
  </si>
  <si>
    <t>kafka.dev.apps.kairos02.santpau.es</t>
  </si>
  <si>
    <t>controlcenter.dev.apps.kairos02.santpau.es</t>
  </si>
  <si>
    <t>JIRA: HSP-272545</t>
  </si>
  <si>
    <t>JIRA: HSP-273550</t>
  </si>
  <si>
    <t>sentry01.santpau.es</t>
  </si>
  <si>
    <t>estimtrack01des.santpau.es</t>
  </si>
  <si>
    <t>JIRA: HSP-273566</t>
  </si>
  <si>
    <t>porta.santpau.es</t>
  </si>
  <si>
    <t>JIRA: HSP-273614</t>
  </si>
  <si>
    <t>portal.vpnssl.santpau.cat</t>
  </si>
  <si>
    <t>connect.apps.kairos03.santpau.es</t>
  </si>
  <si>
    <t>controlcenter.apps.kairos03.santpau.es</t>
  </si>
  <si>
    <t>kafka.apps.kairos03.santpau.es</t>
  </si>
  <si>
    <t>anibio01.dspau.santpau.es</t>
  </si>
  <si>
    <t>exagridstpau01.santpau.cat</t>
  </si>
  <si>
    <t>nis01.santpau.es</t>
  </si>
  <si>
    <t>visorlabs.santpau.cat</t>
  </si>
  <si>
    <t>visoragfa.santpau.cat</t>
  </si>
  <si>
    <t>tiquepcp.eu</t>
  </si>
  <si>
    <t>visorprescripcionambulatoria.santpau.cat</t>
  </si>
  <si>
    <t>visorprescripcionmedica.santpau.cat</t>
  </si>
  <si>
    <t>visormicrobiologia.santpau.cat</t>
  </si>
  <si>
    <t>visordokuflex.santpau.cat</t>
  </si>
  <si>
    <t>rgv-services.produccio.apps.kairos03.santpau.es</t>
  </si>
  <si>
    <t>visorecocardio.santpau.cat</t>
  </si>
  <si>
    <t>visorneosoft.santpau.cat</t>
  </si>
  <si>
    <t>JIRA: HSP-274747</t>
  </si>
  <si>
    <t>JIRA: HSP-274192</t>
  </si>
  <si>
    <t>JIRA: HSP-274313</t>
  </si>
  <si>
    <t>CN = wwwpre.santpau.cat</t>
  </si>
  <si>
    <t>wwwpre_santpau_cat_2025</t>
  </si>
  <si>
    <t>CN = www.tiquepcp.eu</t>
  </si>
  <si>
    <t>www_tiquepcp_eu_cert</t>
  </si>
  <si>
    <t>CN = www.tiquepcp.com</t>
  </si>
  <si>
    <t>www_tiquepcp_com_cert</t>
  </si>
  <si>
    <t>CN = www.santpau.cat</t>
  </si>
  <si>
    <t>www_santpau_cat_cert</t>
  </si>
  <si>
    <t>CN = webhook.santpau.cat</t>
  </si>
  <si>
    <t>webhook_santpau_cat</t>
  </si>
  <si>
    <t>CN = visorprescripcionmedica.santpau.cat</t>
  </si>
  <si>
    <t>visorprescripcionmedica_santpau_cat_cert+ca_2025</t>
  </si>
  <si>
    <t>CN = visorprescripcionambulatoria.santpau.cat</t>
  </si>
  <si>
    <t>visorprescripcionambulatoria_santpau_cat_cert+ca_2025</t>
  </si>
  <si>
    <t>CN = visorneosoft.santpau.cat</t>
  </si>
  <si>
    <t>visorneosoft_santpau_cat_cert+ca_2025</t>
  </si>
  <si>
    <t>CN = visormicrobiologia.santpau.cat</t>
  </si>
  <si>
    <t>visormicrobiologia_santpau_cat_cert+ca_2025</t>
  </si>
  <si>
    <t>CN = visorlabsgipi.santpau.cat</t>
  </si>
  <si>
    <t>CN = visorlabs.santpau.cat</t>
  </si>
  <si>
    <t>visorlabs_santpau_cat_cert+ca_2025</t>
  </si>
  <si>
    <t>CN = visorecocardio.santpau.cat</t>
  </si>
  <si>
    <t>visorecocardio_santpau_cat_cert+ca_2025</t>
  </si>
  <si>
    <t>CN = visordokuflex.santpau.cat</t>
  </si>
  <si>
    <t>visordokuflex_santpau_cat_cert+ca_2025</t>
  </si>
  <si>
    <t>CN = visoragfa.santpau.cat</t>
  </si>
  <si>
    <t>visoragfa_santpau_cat_cert+ca_2025</t>
  </si>
  <si>
    <t>CN = smsapi.integracions.santpau.cat</t>
  </si>
  <si>
    <t>smsapi_integracions_santpau_cat_2025</t>
  </si>
  <si>
    <t>CN = sentry01.santpau.es</t>
  </si>
  <si>
    <t>CN = saspaumg04.santpau.cat</t>
  </si>
  <si>
    <t>CN = saspaumg03.santpau.cat</t>
  </si>
  <si>
    <t>CN = saspaumg02.santpau.cat</t>
  </si>
  <si>
    <t>CN = saspaumg01.santpau.cat</t>
  </si>
  <si>
    <t>CN = sapbohsp.santpau.es</t>
  </si>
  <si>
    <t>CN = rsyncbridge.santpau.es</t>
  </si>
  <si>
    <t>rsyncbridge_santpau_es_cert</t>
  </si>
  <si>
    <t>CN = rgv-services.produccio.apps.kairos03.santpau.es</t>
  </si>
  <si>
    <t>CN = rgv-services.preproduccio.apps.kairos02.santpau.es</t>
  </si>
  <si>
    <t>CN = petitsacasades.santpau.es</t>
  </si>
  <si>
    <t>CN = petitsacasades.santpau.cat</t>
  </si>
  <si>
    <t>CN = petitsacasa.santpau.cat</t>
  </si>
  <si>
    <t>CN = noraybanks.santpau.cat</t>
  </si>
  <si>
    <t>CN = nis01.santpau.es</t>
  </si>
  <si>
    <t>nis01_santpau_es_cert+ca_2025</t>
  </si>
  <si>
    <t>nis01_santpau_es_cert</t>
  </si>
  <si>
    <t>CN = moispaumg02.santpau.cat</t>
  </si>
  <si>
    <t>CN = moispaumg01.santpau.cat</t>
  </si>
  <si>
    <t>CN = modulabest.santpau.cat</t>
  </si>
  <si>
    <t>modulabest_santpau_cat_cert_2024_25</t>
  </si>
  <si>
    <t>CN = modulab.santpau.cat</t>
  </si>
  <si>
    <t>CN = logindes.santpau.cat</t>
  </si>
  <si>
    <t>CN = login.santpau.cat</t>
  </si>
  <si>
    <t>login_santpau_cat_cert</t>
  </si>
  <si>
    <t>CN = laboratoris.integracions.santpau.cat</t>
  </si>
  <si>
    <t>laboratoris_integracions_santpau_cat</t>
  </si>
  <si>
    <t>CN = kafka.dev.apps.kairos02.santpau.es</t>
  </si>
  <si>
    <t>CN = kafka.apps.kairos03.santpau.es</t>
  </si>
  <si>
    <t>CN = kabihelpassist.santpau.es</t>
  </si>
  <si>
    <t>kabihelpassist_santpau_es_cert_2024_25</t>
  </si>
  <si>
    <t>CN = iscv01.santpau.es</t>
  </si>
  <si>
    <t>CN = ir-glpi.santpau.cat</t>
  </si>
  <si>
    <t>ir-glpi_santpau_cat_cert_2024_2025</t>
  </si>
  <si>
    <t>CN = iq-reports-services.produccio.apps.kairos03.santpau.es</t>
  </si>
  <si>
    <t>CN = iq-reports-services.preproduccio.apps.kairos02.santpau.es</t>
  </si>
  <si>
    <t>CN = intranetdes.santpau.cat</t>
  </si>
  <si>
    <t>intranetdes_santpau_cat_cert</t>
  </si>
  <si>
    <t>CN = intranet.santpau.cat</t>
  </si>
  <si>
    <t>intranet_santpau_cat_cert</t>
  </si>
  <si>
    <t>CN = intpolimita.santpau.cat</t>
  </si>
  <si>
    <t>intpolimita_santpau_cat_cert</t>
  </si>
  <si>
    <t>CN = imagiclehsp01.santpau.es</t>
  </si>
  <si>
    <t>imagiclehsp01_santpau_es_cert</t>
  </si>
  <si>
    <t>CN = hspeixero02.santpau.es</t>
  </si>
  <si>
    <t>CN = hspeixero01.santpau.es</t>
  </si>
  <si>
    <t>CN = hspeixero.santpau.es</t>
  </si>
  <si>
    <t>CN = gota01des.santpau.es</t>
  </si>
  <si>
    <t>gota01des.santpau.es</t>
  </si>
  <si>
    <t>CN = gestiopif.santpau.cat</t>
  </si>
  <si>
    <t>gestiopif_santpau_cat_2024_25</t>
  </si>
  <si>
    <t>CN = gestioip.santpau.es</t>
  </si>
  <si>
    <t>gestioip_santpau_es_cert</t>
  </si>
  <si>
    <t>CN = euipre.santpau.cat</t>
  </si>
  <si>
    <t>euipre_santpau_cat_cert</t>
  </si>
  <si>
    <t>CN = eui.santpau.cat</t>
  </si>
  <si>
    <t>eui_santpau_cat_cert</t>
  </si>
  <si>
    <t>CN = etc-jobs.preproduccio.apps.kairos02.santpau.es</t>
  </si>
  <si>
    <t>CN = etc-clinical-order.preproduccio.apps.kairos02.santpau.es</t>
  </si>
  <si>
    <t>CN = etc.apps.kairos03.santpau.es</t>
  </si>
  <si>
    <t>CN = etc.apps.kairos02.santpau.es</t>
  </si>
  <si>
    <t>CN = estimtrack01.santpau.es</t>
  </si>
  <si>
    <t>Cert_binary_estimtrack01_santpau_es</t>
  </si>
  <si>
    <t>CN = ehealthvalidationcenter.santpau.cat</t>
  </si>
  <si>
    <t>ehealthvalidationcenter_santpau_cat_cert</t>
  </si>
  <si>
    <t>CN = ecnpl.santpau.cat</t>
  </si>
  <si>
    <t>ecnpl_santpau_cat_cert</t>
  </si>
  <si>
    <t>CN = dokuflex01.santpau.es</t>
  </si>
  <si>
    <t>CN = dokuflex.santpau.cat</t>
  </si>
  <si>
    <t>dokuflex_santpau_cat_cert</t>
  </si>
  <si>
    <t>CN = docsarxiu.santpau.cat</t>
  </si>
  <si>
    <t>CN = correuhsp.santpau.cat</t>
  </si>
  <si>
    <t>correuhsp_santpau_cat_cert</t>
  </si>
  <si>
    <t>CN = controlcenter.apps.kairos03.santpau.es</t>
  </si>
  <si>
    <t>CN = controlcenter.apps.kairos02.santpau.es</t>
  </si>
  <si>
    <t>CN = connect.dev.apps.kairos02.santpau.es</t>
  </si>
  <si>
    <t>CN = connect.apps.kairos03.santpau.es</t>
  </si>
  <si>
    <t>CN = comandesquirofansapi.integracions.santpau.cat</t>
  </si>
  <si>
    <t>comandesquirofansapi_integracions_santpau_cat_2025</t>
  </si>
  <si>
    <t>CN = comandesquirofans.integracions.santpau.cat</t>
  </si>
  <si>
    <t>CN = colabora.santpau.cat</t>
  </si>
  <si>
    <t>CN = centredevalidacions.santpau.cat</t>
  </si>
  <si>
    <t>centredevalidacions_santpau_cat_cert</t>
  </si>
  <si>
    <t>CN = catalegsnnn.santpau.es</t>
  </si>
  <si>
    <t>catalegsnnn_santpau_es_cert</t>
  </si>
  <si>
    <t>CN = carnetdai.santpau.cat</t>
  </si>
  <si>
    <t>CN = canviparaulapas.santpau.cat</t>
  </si>
  <si>
    <t>canviparaulapas_santpau_cat_cert+ca_2025</t>
  </si>
  <si>
    <t>canviparaulapas_santpau_cat_cert</t>
  </si>
  <si>
    <t>CN = canaldenuncies.santpau.cat</t>
  </si>
  <si>
    <t>canaldenuncies_santpau_cat_cert</t>
  </si>
  <si>
    <t>CN = campus.santpau.cat</t>
  </si>
  <si>
    <t>CN = broker-bridge-services.produccio.apps.kairos03.santpau.es</t>
  </si>
  <si>
    <t>CN = broker-bridge-services.preproduccio.apps.kairos02.santpau.es</t>
  </si>
  <si>
    <t>CN = beaconsantpau1.santpau.es</t>
  </si>
  <si>
    <t>beaconsantpau1_santpau_es_cert</t>
  </si>
  <si>
    <t>CN = bclink01des.santpau.es</t>
  </si>
  <si>
    <t>CN = aula.santpau.cat</t>
  </si>
  <si>
    <t>aula_santpau_cat_cert+ca+2025</t>
  </si>
  <si>
    <t>CN = atb01.santpau.es</t>
  </si>
  <si>
    <t>atb01_santpau_es_cert_2025</t>
  </si>
  <si>
    <t>CN = asedat01.santpau.es</t>
  </si>
  <si>
    <t>CN = appinfurgdes.santpau.cat</t>
  </si>
  <si>
    <t>CN = appinfurg.santpau.cat</t>
  </si>
  <si>
    <t>CN = apiappinfurgdes.santpau.cat</t>
  </si>
  <si>
    <t>apiappinfurgdes_santpau_cat_cert+ca-2025</t>
  </si>
  <si>
    <t>CN = apiappinfurg.santpau.cat</t>
  </si>
  <si>
    <t>apiappinfurg_santpau_cat_cert+ca-2025</t>
  </si>
  <si>
    <t>CN = animate.santpau.cat</t>
  </si>
  <si>
    <t>CN = anibio.santpau.cat</t>
  </si>
  <si>
    <t>anibio_santpau_cat_2025</t>
  </si>
  <si>
    <t>CN = admmed.santpau.cat</t>
  </si>
  <si>
    <t>admmed_santpau_cat_2025</t>
  </si>
  <si>
    <t>CN = activitatdocent.santpau.cat</t>
  </si>
  <si>
    <t>activitatdocent_santpau_cat_cert</t>
  </si>
  <si>
    <t>CN = *.apps.kairos03.santpau.es</t>
  </si>
  <si>
    <t>apps_kairos03_santpau_es_cert2024_25</t>
  </si>
  <si>
    <t>CN = *.apps.kairos02.santpau.es</t>
  </si>
  <si>
    <t>apps_kairos02_santpau_es_cert_2024_25</t>
  </si>
  <si>
    <t>CADUCIDAD</t>
  </si>
  <si>
    <t>date</t>
  </si>
  <si>
    <t>subject</t>
  </si>
  <si>
    <t>name</t>
  </si>
  <si>
    <t>etc_apps_kairos02_santpau_es_cert+ca_2025</t>
  </si>
  <si>
    <t>etc.apps.kairos02.santpau.es</t>
  </si>
  <si>
    <t>fortiems01.santpau.es</t>
  </si>
  <si>
    <t>navifyop01des.santpau.es</t>
  </si>
  <si>
    <t>JIRA: HSP-275147</t>
  </si>
  <si>
    <t>hspeixero_santpau_es_cert+ca_2025</t>
  </si>
  <si>
    <t>docsarxiu_santpau_cat_cert+ca_2025</t>
  </si>
  <si>
    <t>appinfurg.santpau.cat</t>
  </si>
  <si>
    <t>appinfurgdes.santpau.cat</t>
  </si>
  <si>
    <t>JIRA: HSP-275399</t>
  </si>
  <si>
    <t>appinfurgdes_santpau_cat_cert+ca_2025</t>
  </si>
  <si>
    <t>appinfurg_santpau_cat_cert+ca_2025</t>
  </si>
  <si>
    <t>comandesquirofans_integracions_santpau_cat_cert+ca_2025</t>
  </si>
  <si>
    <t>estimtrack01des_santpau_es_cert+ca_2025</t>
  </si>
  <si>
    <t>CN = estimtrack01des.santpau.es</t>
  </si>
  <si>
    <t>hspeixero01.santpau.es</t>
  </si>
  <si>
    <t>hspeixero02.santpau.es</t>
  </si>
  <si>
    <t>JIRA: HSP-275719</t>
  </si>
  <si>
    <t>hspeics.santpau.es</t>
  </si>
  <si>
    <t>JIRA: HSP-275848</t>
  </si>
  <si>
    <t>nagios.santpau.es</t>
  </si>
  <si>
    <t>susemanager01.santpau.es</t>
  </si>
  <si>
    <t>CN = nagios.santpau.es</t>
  </si>
  <si>
    <t>nagios_santpau_es_cert+ca_2025</t>
  </si>
  <si>
    <t>JIRA: HSP-276249</t>
  </si>
  <si>
    <t>broker-bridge-services.produccio.apps.kairos03.santpau.es</t>
  </si>
  <si>
    <t xml:space="preserve">etccli.apps.kairos03.santpau.es </t>
  </si>
  <si>
    <t>JIRA: HSP-276989</t>
  </si>
  <si>
    <t>JIRA: HSP-276988</t>
  </si>
  <si>
    <t>modularprinter.santpau.cat</t>
  </si>
  <si>
    <t>kraftcontroller-generated-jks.apps.kairos03.santpau.es</t>
  </si>
  <si>
    <t>kafka-generated-jks.apps.kairos03.santpau.es</t>
  </si>
  <si>
    <t>connect-generated-jks.apps.kairos03.santpau.es</t>
  </si>
  <si>
    <t>controlcenter-generated-jks.apps.kairos03.santpau.es</t>
  </si>
  <si>
    <t>Criticidad</t>
  </si>
  <si>
    <t>broker-bridge-services.preproduccio.apps.kairos02.santpau.es</t>
  </si>
  <si>
    <t>CN = navifyop01.santpau.es</t>
  </si>
  <si>
    <t>CN = navifyop01des.santpau.es</t>
  </si>
  <si>
    <t>navifyop01des_santpau_es_cert+ca_2025</t>
  </si>
  <si>
    <t>navifyop01_santpau_es_cert+ca_2025</t>
  </si>
  <si>
    <t>visorlabsgipi.santpau.cat</t>
  </si>
  <si>
    <t>visorlabsgipi_santpau_cat_cert+ca_2025</t>
  </si>
  <si>
    <t>logindes_santpau_cat_cert+ca_2025</t>
  </si>
  <si>
    <t>login_santpau_cat_cert+ca_2025</t>
  </si>
  <si>
    <t>sentry01_santpau_es_cert+ca_2025</t>
  </si>
  <si>
    <t>CN = liferaypre.santpau.cat</t>
  </si>
  <si>
    <t>CN = shukunhsp.santpau.es</t>
  </si>
  <si>
    <t>shukunhsp_santpau_es_cert+ca_2025</t>
  </si>
  <si>
    <t>shukunhsp.santpau.es</t>
  </si>
  <si>
    <t>petitsacasa.santpau.cat</t>
  </si>
  <si>
    <t>gota01des_santpau_es_cert+ca_2025</t>
  </si>
  <si>
    <t>petitsacasa_santpau_cat_cert+ca_2025</t>
  </si>
  <si>
    <t>canaldenuncies.santpau.cat</t>
  </si>
  <si>
    <t>portalcaptiu.santpau.cat</t>
  </si>
  <si>
    <t>JIRA: HSP-278316</t>
  </si>
  <si>
    <t>isecg.santpau.es</t>
  </si>
  <si>
    <t>JIRA: HSP-278359</t>
  </si>
  <si>
    <t>santpau.cat</t>
  </si>
  <si>
    <t>santpau.es</t>
  </si>
  <si>
    <t>pre.is3.santpau.cat</t>
  </si>
  <si>
    <t>JIRA: HSP-278453</t>
  </si>
  <si>
    <t>is3.santpau.cat</t>
  </si>
  <si>
    <t>JIRA: HSP-275199</t>
  </si>
  <si>
    <t>rgv-services.preproduccio.apps.kairos02.santpau.es</t>
  </si>
  <si>
    <t>impaxapps1.santpau.es</t>
  </si>
  <si>
    <t>impaxapps2.santpau.es</t>
  </si>
  <si>
    <t>dieteskairos.santpau.cat</t>
  </si>
  <si>
    <t>JIRA: HSP-279822</t>
  </si>
  <si>
    <t>animate.santpau.cat</t>
  </si>
  <si>
    <t>JIRA: HSP-280326</t>
  </si>
  <si>
    <t>esesclin.santpau.cat</t>
  </si>
  <si>
    <t>animate_santpau_cat_cert+ca_2025</t>
  </si>
  <si>
    <t>esesclin_santpau_cat_cert+ca_2025</t>
  </si>
  <si>
    <t>CN = esesclin.santpau.cat</t>
  </si>
  <si>
    <t>esesclindes_santpau_cat_cert+ca_2025</t>
  </si>
  <si>
    <t>liferaypre_santpau_cat_cert+ca_2025</t>
  </si>
  <si>
    <t>rgv-services_preproduccio_apps_kairos02_santpau_es_cert+ca_2025</t>
  </si>
  <si>
    <t>rgv-services_produccio_apps_kairos03_santpau_es_cert+ca_2025</t>
  </si>
  <si>
    <t>CN = esesclindes.santpau.cat</t>
  </si>
  <si>
    <t>susemanager01_santpau_es_cert+ca_2025</t>
  </si>
  <si>
    <t>CN = susemanager01.santpau.es</t>
  </si>
  <si>
    <t>dieteskairos_santpau_cat_cert+ca_2025</t>
  </si>
  <si>
    <t>CN = dieteskairos.santpau.cat</t>
  </si>
  <si>
    <t>CN = serveisrm.santpau.cat</t>
  </si>
  <si>
    <t>ritmocore.santpau.es</t>
  </si>
  <si>
    <t>JIRA: HSP-280904</t>
  </si>
  <si>
    <t>JIRA: HSP-281421</t>
  </si>
  <si>
    <t>vpnssl.santpau.cat</t>
  </si>
  <si>
    <t>apahubprelb.santpau.es</t>
  </si>
  <si>
    <t>apaintpre.santpau.es</t>
  </si>
  <si>
    <t>apaintpre1.santpau.es</t>
  </si>
  <si>
    <t>apaintpre2.santpau.es</t>
  </si>
  <si>
    <t>apaintprelb.santpau.es</t>
  </si>
  <si>
    <t>apasgiprehub.santpau.es</t>
  </si>
  <si>
    <t>apasgiprehub1.santpau.es</t>
  </si>
  <si>
    <t>apasgiprehub2.santpau.es</t>
  </si>
  <si>
    <t>apasgipresu.santpau.es</t>
  </si>
  <si>
    <t>apasgipresu1.santpau.es</t>
  </si>
  <si>
    <t>apasgipresu2.santpau.es</t>
  </si>
  <si>
    <t>apasgipretlp.santpau.es</t>
  </si>
  <si>
    <t>apasgipretlp1.santpau.es</t>
  </si>
  <si>
    <t>apasgipretlp2.santpau.es</t>
  </si>
  <si>
    <t>apasqprelb.santpau.es</t>
  </si>
  <si>
    <t>apasuprelb.santpau.es</t>
  </si>
  <si>
    <t>apatlprelb.santpau.es</t>
  </si>
  <si>
    <t>apazbpxpre.santpau.es</t>
  </si>
  <si>
    <t>apazbpxpre1.santpau.es</t>
  </si>
  <si>
    <t>apazbpxpre2.santpau.es</t>
  </si>
  <si>
    <t>apahubprolb.santpau.es</t>
  </si>
  <si>
    <t>apaintpro.santpau.es</t>
  </si>
  <si>
    <t>apaintpro1.santpau.es</t>
  </si>
  <si>
    <t>apaintpro2.santpau.es</t>
  </si>
  <si>
    <t>apaintprolb.santpau.es</t>
  </si>
  <si>
    <t>apasgiprohub.santpau.es</t>
  </si>
  <si>
    <t>apasgiprohub1.santpau.es</t>
  </si>
  <si>
    <t>apasgiprohub2.santpau.es</t>
  </si>
  <si>
    <t>apasgiprosu.santpau.es</t>
  </si>
  <si>
    <t>apasgiprosu1.santpau.es</t>
  </si>
  <si>
    <t>apasgiprosu2.santpau.es</t>
  </si>
  <si>
    <t>apasgiprotlp.santpau.es</t>
  </si>
  <si>
    <t>apasgiprotlp1.santpau.es</t>
  </si>
  <si>
    <t>apasgiprotlp2.santpau.es</t>
  </si>
  <si>
    <t>apasqprolb.santpau.es</t>
  </si>
  <si>
    <t>apasuprolb.santpau.es</t>
  </si>
  <si>
    <t>apatlprolb.santpau.es</t>
  </si>
  <si>
    <t>apazbpxpro.santpau.es</t>
  </si>
  <si>
    <t>apazbpxpro1.santpau.es</t>
  </si>
  <si>
    <t>apazbpxpro2.santpau.es</t>
  </si>
  <si>
    <t>JIRA: HSP-281515</t>
  </si>
  <si>
    <t>correu.santpau.cat</t>
  </si>
  <si>
    <t>JIRA: HSP-282288</t>
  </si>
  <si>
    <t>eris-eu.net</t>
  </si>
  <si>
    <t>eris-eu.eu</t>
  </si>
  <si>
    <t>eris-eu.org</t>
  </si>
  <si>
    <t>JIRA: HSP-281498</t>
  </si>
  <si>
    <t>asedat01.santpau.es</t>
  </si>
  <si>
    <t>JIRA: HSP-283199</t>
  </si>
  <si>
    <t>asedat01_santpau_es_cert+ca_2025</t>
  </si>
  <si>
    <t>colabora.santpau.cat</t>
  </si>
  <si>
    <t>JIRA: HSP-284295</t>
  </si>
  <si>
    <t>kafka_dev_apps_kairos02_santpau_es_cert+ca_2025</t>
  </si>
  <si>
    <t>kafka_apps_kairos03_santpau_es_cert+ca_2025</t>
  </si>
  <si>
    <t>iq-reports-services_produccio_apps_kairos03_santpau_es_cert+ca_2025</t>
  </si>
  <si>
    <t>iq-reports-services_preproduccio_apps_kairos02_santpau_es_cert+ca_2025</t>
  </si>
  <si>
    <t>controlcenter_apps_kairos03_santpau_es_cert+ca_2025</t>
  </si>
  <si>
    <t>controlcenter_dev_apps_kairos02_santpau_es_cert+ca_2025</t>
  </si>
  <si>
    <t>connect_apps_kairos03_santpau_es_cert+ca_2025</t>
  </si>
  <si>
    <t>connect_dev_apps_kairos02_santpau_es_cert+ca_2025</t>
  </si>
  <si>
    <t>broker-bridge-services_preproduccio_apps_kairos02_santpau_es_cert+ca_2025</t>
  </si>
  <si>
    <t>broker-bridge-services_produccio_apps_kairos03_santpau_es_cert+ca_2025</t>
  </si>
  <si>
    <t>colabora_santpau_cat_cert+ca_2025</t>
  </si>
  <si>
    <t>hspeixero01_santpau_es_cert+ca_2025</t>
  </si>
  <si>
    <t>hspeixero02_santpau_es_cert+ca_2025</t>
  </si>
  <si>
    <t>JIRA: HSP-284477</t>
  </si>
  <si>
    <t>carnetdai.santpau.cat</t>
  </si>
  <si>
    <t>circle01des.santpau.es</t>
  </si>
  <si>
    <t>circle01.santpau.es</t>
  </si>
  <si>
    <t>JIRA: HSP-284944</t>
  </si>
  <si>
    <t>moispaumg01.santpau.cat</t>
  </si>
  <si>
    <t>moispaumg02.santpau.cat</t>
  </si>
  <si>
    <t>JIRA: HSP-284894</t>
  </si>
  <si>
    <t>museweb02.dspau.santpau.es</t>
  </si>
  <si>
    <t>petitsacasades.santpau.cat</t>
  </si>
  <si>
    <t>JIRA: HSP-286280</t>
  </si>
  <si>
    <t>petitsacasades_santpau_cat_cert+ca_2025</t>
  </si>
  <si>
    <t>petitsacasades_santpau_es_cert+ca_2025</t>
  </si>
  <si>
    <t>petitsacasades.santpau.es</t>
  </si>
  <si>
    <t>moispaumg01_santpau_cat_cert+ca_2025</t>
  </si>
  <si>
    <t>moispaumg02_santpau_cat_cert+ca_2025</t>
  </si>
  <si>
    <t>saspaumg01.santpau.cat</t>
  </si>
  <si>
    <t>saspaumg02.santpau.cat</t>
  </si>
  <si>
    <t>saspaumg03.santpau.cat</t>
  </si>
  <si>
    <t>saspaumg04.santpau.cat</t>
  </si>
  <si>
    <t>saspaumg01_santpau_cat_cert+ca_2025</t>
  </si>
  <si>
    <t>saspaumg02_santpau_cat_cert+ca_2025</t>
  </si>
  <si>
    <t>saspaumg03_santpau_cat_cert+ca_2025</t>
  </si>
  <si>
    <t>saspaumg04_santpau_cat_cert+ca_2025</t>
  </si>
  <si>
    <t>etc_apps_kairos03_santpau_es_cert+ca_2025</t>
  </si>
  <si>
    <t>etc-jobs_preproduccio_apps_kairos02_santpau_es_cert+ca_2025</t>
  </si>
  <si>
    <t>etc-clinical-order_preproduccio_apps_kairos02_santpau_es_cert+ca_2025</t>
  </si>
  <si>
    <t>museweb02_dspau_santpau_es_cert+ca_2025</t>
  </si>
  <si>
    <t>CN = museweb02.dspau.santpau.es</t>
  </si>
  <si>
    <t>fieldeas.santpau.es</t>
  </si>
  <si>
    <t>modulab.santpau.cat</t>
  </si>
  <si>
    <t>dokuflex01.santpau.es</t>
  </si>
  <si>
    <t>iscv01.santpau.es</t>
  </si>
  <si>
    <t>noraybanks.santpau.cat</t>
  </si>
  <si>
    <t>modulab_santpau_cat_cert+ca_2025</t>
  </si>
  <si>
    <t>noraybanks_santpau_cat_cert+ca_2025</t>
  </si>
  <si>
    <t>fieldeas_santpau_es_cert+ca_2025</t>
  </si>
  <si>
    <t>CN = fieldeas.santpau.es</t>
  </si>
  <si>
    <t>iscv01_santpau_es_cert+ca_2025</t>
  </si>
  <si>
    <t>campus_santpau_cat_cert+ca_2025</t>
  </si>
  <si>
    <t>dokuflex01_santpau_es_cert+ca_2025</t>
  </si>
  <si>
    <t>dokuflex01cons.santpau.es</t>
  </si>
  <si>
    <t>oncosafety01des.santpau.es</t>
  </si>
  <si>
    <t>carnetdai_santpau_cat_cert+ca_2025</t>
  </si>
  <si>
    <t>gota01.santpau.es</t>
  </si>
  <si>
    <t>sapbohsp.santpau.es</t>
  </si>
  <si>
    <t>bclink01des.santpau.es</t>
  </si>
  <si>
    <t>beaconsantpau1.santpau.es</t>
  </si>
  <si>
    <t>JIRA: HSP-288557</t>
  </si>
  <si>
    <t>sapbohsp_santpau_es_cert+ca_2025</t>
  </si>
  <si>
    <t>bclink01des_santpau_es_cert+ca_2025</t>
  </si>
  <si>
    <t>resetpasswordad.santpau.cat</t>
  </si>
  <si>
    <t>sci04.dspau.santpau.es</t>
  </si>
  <si>
    <t>JIRA: HSP-289030</t>
  </si>
  <si>
    <t>JIRA: HSP-289029</t>
  </si>
  <si>
    <t>serveisrm_santpau_cat_bundle_FULL</t>
  </si>
  <si>
    <t>enigma01des.santpau.es</t>
  </si>
  <si>
    <t>JIRA: HSP-290584</t>
  </si>
  <si>
    <t>iscv02.santpau.es</t>
  </si>
  <si>
    <t>iscv02.dspau.santpau.es</t>
  </si>
  <si>
    <t>ClassUrg_santpau_cat</t>
  </si>
  <si>
    <t>JIRA: HSP-291938</t>
  </si>
  <si>
    <t>*.apps.kairos03.santpau.es</t>
  </si>
  <si>
    <t>HSP-290723</t>
  </si>
  <si>
    <t>HSP-292083</t>
  </si>
  <si>
    <t>modulabinte_santpau_cat</t>
  </si>
  <si>
    <t>modulabest_santpau_cat</t>
  </si>
  <si>
    <t>modulabana_santpau_cat</t>
  </si>
  <si>
    <t>HSP-290732</t>
  </si>
  <si>
    <t>HSP-290724</t>
  </si>
  <si>
    <t>*_formacio_etc_santpau_es</t>
  </si>
  <si>
    <t>HSP-293439</t>
  </si>
  <si>
    <t>recercasantpau.cat</t>
  </si>
  <si>
    <t>HSP-293895</t>
  </si>
  <si>
    <t>iscv.santpau.es</t>
  </si>
  <si>
    <t>iscvtest.santpau.es</t>
  </si>
  <si>
    <t>HSP-294419</t>
  </si>
  <si>
    <t>vpnsslpro.santpau.cat</t>
  </si>
  <si>
    <t>vpnemspro.santpau.cat</t>
  </si>
  <si>
    <t>HSP-293621</t>
  </si>
  <si>
    <t>gala.santpau.es</t>
  </si>
  <si>
    <t>HSP-294535</t>
  </si>
  <si>
    <t>HSP-295277</t>
  </si>
  <si>
    <t>mapahtades.santpau.es</t>
  </si>
  <si>
    <t>HSP-295331</t>
  </si>
  <si>
    <t>appsweb.santpau.cat</t>
  </si>
  <si>
    <t>accesremot_santpau_cat</t>
  </si>
  <si>
    <t>Jose Manuel Garcia Caño</t>
  </si>
  <si>
    <t>jitsi.sesiones-clinicas.apps.kairos02.santpau.es</t>
  </si>
  <si>
    <t>/HSP-294759</t>
  </si>
  <si>
    <t>jitsi.sesiones-clinicas.apps.kairos03.santpau.es</t>
  </si>
  <si>
    <t>ir-assistencia.santpau.es</t>
  </si>
  <si>
    <t>HSP-295962</t>
  </si>
  <si>
    <t>mapahta01.santpau.es</t>
  </si>
  <si>
    <t>HSP-294698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</si>
</sst>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-mmm\-yyyy"/>
    <numFmt numFmtId="165" formatCode="ddd\ dd\-mmm\-yyyy"/>
    <numFmt numFmtId="166" formatCode="ddd\ dd\-mmm\-yy"/>
  </numFmts>
  <fonts count="9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rgb="FF2E75B5"/>
      <name val="Aptos"/>
      <family val="2"/>
    </font>
    <font>
      <sz val="12"/>
      <color rgb="FF262626"/>
      <name val="Aptos"/>
      <family val="2"/>
    </font>
    <font>
      <sz val="12"/>
      <name val="Aptos"/>
      <family val="2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164" fontId="2" fillId="0" borderId="0" xfId="0" applyNumberFormat="1" applyFont="1"/>
    <xf numFmtId="0" fontId="2" fillId="0" borderId="0" xfId="1" applyFont="1"/>
    <xf numFmtId="14" fontId="2" fillId="2" borderId="0" xfId="1" applyNumberFormat="1" applyFont="1" applyFill="1"/>
    <xf numFmtId="0" fontId="4" fillId="0" borderId="0" xfId="1" applyFont="1" applyAlignment="1">
      <alignment vertical="top"/>
    </xf>
    <xf numFmtId="14" fontId="4" fillId="2" borderId="0" xfId="1" applyNumberFormat="1" applyFont="1" applyFill="1" applyAlignment="1">
      <alignment vertical="top"/>
    </xf>
    <xf numFmtId="0" fontId="2" fillId="2" borderId="0" xfId="1" applyFont="1" applyFill="1"/>
    <xf numFmtId="165" fontId="2" fillId="0" borderId="0" xfId="0" applyNumberFormat="1" applyFont="1"/>
    <xf numFmtId="166" fontId="2" fillId="0" borderId="0" xfId="1" applyNumberFormat="1" applyFont="1"/>
    <xf numFmtId="0" fontId="2" fillId="0" borderId="0" xfId="0" applyFont="1" applyAlignment="1">
      <alignment horizontal="left" inden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1" applyFont="1"/>
    <xf numFmtId="0" fontId="5" fillId="0" borderId="0" xfId="1" applyFont="1" applyAlignment="1">
      <alignment vertical="top"/>
    </xf>
    <xf numFmtId="0" fontId="7" fillId="0" borderId="0" xfId="2" applyAlignment="1">
      <alignment horizontal="left" vertical="center" wrapText="1" indent="1"/>
    </xf>
    <xf numFmtId="0" fontId="8" fillId="0" borderId="0" xfId="0" applyFont="1"/>
    <xf numFmtId="0" fontId="2" fillId="0" borderId="0" xfId="0" applyFont="1" applyAlignment="1">
      <alignment wrapText="1"/>
    </xf>
    <xf numFmtId="0" fontId="7" fillId="0" borderId="0" xfId="2"/>
  </cellXfs>
  <cellStyles count="3">
    <cellStyle name="Hipervínculo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Nuevo</v>
    <v>2</v>
    <v>1</v>
    <v>4</v>
    <v>5</v>
  </rv>
</rvData>
</file>

<file path=xl/richData/rdrichvaluestructure.xml><?xml version="1.0" encoding="utf-8"?>
<rvStructures xmlns="http://schemas.microsoft.com/office/spreadsheetml/2017/richdata" count="1">
  <s t="_error">
    <k n="argument" t="s"/>
    <k n="errorType" t="i"/>
    <k n="iftab" t="i"/>
    <k n="ptg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72.31.50.54:8080/browse/HSP-294419" TargetMode="External"/><Relationship Id="rId13" Type="http://schemas.openxmlformats.org/officeDocument/2006/relationships/hyperlink" Target="http://172.31.50.54:8080/browse/HSP-295962" TargetMode="External"/><Relationship Id="rId3" Type="http://schemas.openxmlformats.org/officeDocument/2006/relationships/hyperlink" Target="http://172.31.50.54:8080/browse/HSP-291938" TargetMode="External"/><Relationship Id="rId7" Type="http://schemas.openxmlformats.org/officeDocument/2006/relationships/hyperlink" Target="http://172.31.50.54:8080/browse/HSP-294419" TargetMode="External"/><Relationship Id="rId12" Type="http://schemas.openxmlformats.org/officeDocument/2006/relationships/hyperlink" Target="http://jira01.santpau.es:8080/browse/HSP-295277" TargetMode="External"/><Relationship Id="rId2" Type="http://schemas.openxmlformats.org/officeDocument/2006/relationships/hyperlink" Target="http://www.santpau.es/" TargetMode="External"/><Relationship Id="rId1" Type="http://schemas.openxmlformats.org/officeDocument/2006/relationships/hyperlink" Target="http://www.santpau.cat/" TargetMode="External"/><Relationship Id="rId6" Type="http://schemas.openxmlformats.org/officeDocument/2006/relationships/hyperlink" Target="http://172.31.50.54:8080/browse/HSP-293895" TargetMode="External"/><Relationship Id="rId11" Type="http://schemas.openxmlformats.org/officeDocument/2006/relationships/hyperlink" Target="http://172.31.50.54:8080/browse/HSP-294535" TargetMode="External"/><Relationship Id="rId5" Type="http://schemas.openxmlformats.org/officeDocument/2006/relationships/hyperlink" Target="http://jira01.santpau.es:8080/browse/HSP-293439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172.31.50.54:8080/browse/HSP-293621" TargetMode="External"/><Relationship Id="rId4" Type="http://schemas.openxmlformats.org/officeDocument/2006/relationships/hyperlink" Target="http://172.31.50.54:8080/browse/HSP-292083" TargetMode="External"/><Relationship Id="rId9" Type="http://schemas.openxmlformats.org/officeDocument/2006/relationships/hyperlink" Target="http://172.31.50.54:8080/browse/HSP-293621" TargetMode="External"/><Relationship Id="rId14" Type="http://schemas.openxmlformats.org/officeDocument/2006/relationships/hyperlink" Target="http://172.31.50.54:8080/browse/HSP-29469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9"/>
  <sheetViews>
    <sheetView tabSelected="1" zoomScale="80" zoomScaleNormal="80" workbookViewId="0">
      <pane ySplit="1" topLeftCell="A179" activePane="bottomLeft" state="frozen"/>
      <selection pane="bottomLeft" activeCell="A214" sqref="A214:XFD214"/>
    </sheetView>
  </sheetViews>
  <sheetFormatPr baseColWidth="10" defaultColWidth="14" defaultRowHeight="15"/>
  <cols>
    <col min="1" max="3" width="19.109375" style="3" customWidth="1"/>
    <col min="4" max="4" width="59.33203125" style="11" customWidth="1"/>
    <col min="5" max="5" width="24" style="1" customWidth="1"/>
    <col min="6" max="6" width="24.44140625" style="1" customWidth="1"/>
    <col min="7" max="7" width="19.109375" style="3" bestFit="1" customWidth="1"/>
    <col min="8" max="9" width="19.109375" style="3" customWidth="1"/>
    <col min="10" max="10" width="47.33203125" style="1" customWidth="1"/>
    <col min="11" max="16384" width="14" style="1"/>
  </cols>
  <sheetData>
    <row r="1" spans="1:10" s="14" customFormat="1" ht="15.75">
      <c r="A1" s="12" t="s">
        <v>0</v>
      </c>
      <c r="B1" s="12" t="s">
        <v>1</v>
      </c>
      <c r="C1" s="12" t="s">
        <v>301</v>
      </c>
      <c r="D1" s="13" t="s">
        <v>2</v>
      </c>
      <c r="E1" s="13" t="s">
        <v>3</v>
      </c>
      <c r="F1" s="13" t="s">
        <v>4</v>
      </c>
      <c r="G1" s="12" t="s">
        <v>5</v>
      </c>
      <c r="H1" s="12" t="s">
        <v>6</v>
      </c>
      <c r="I1" s="12" t="s">
        <v>301</v>
      </c>
      <c r="J1" s="13" t="s">
        <v>7</v>
      </c>
    </row>
    <row r="2" spans="1:10">
      <c r="A2" s="9">
        <v>45672</v>
      </c>
      <c r="B2" s="9"/>
      <c r="C2" s="9" t="str">
        <f ca="1">IF(B2&lt;TODAY(),"CADUCADO",IF(B2-TODAY()&gt;=60,"+2 MES",IF(AND(B2-TODAY()&lt;60,B2-TODAY()&gt;=30),"+1 MES",IF(AND(B2-TODAY()&lt;30,B2-TODAY()&gt;15),"+15 DÍAS",IF(AND(B2-TODAY()&lt;=15,B2-TODAY()&gt;7),"+7 DÍAS","CRITICAL")))))</f>
        <v>CADUCADO</v>
      </c>
      <c r="D2" s="11" t="s">
        <v>8</v>
      </c>
      <c r="E2" s="1" t="s">
        <v>9</v>
      </c>
      <c r="F2" s="2" t="s">
        <v>9</v>
      </c>
      <c r="G2" s="9">
        <v>45688</v>
      </c>
      <c r="H2" s="9">
        <v>46053</v>
      </c>
      <c r="I2" s="9" t="str">
        <f t="shared" ref="I2:I67" ca="1" si="0">IF(H2&lt;TODAY(),"CADUCADO",IF(H2-TODAY()&gt;=60,"+2 MES",IF(AND(H2-TODAY()&lt;60,H2-TODAY()&gt;=30),"+1 MES",IF(AND(H2-TODAY()&lt;30,H2-TODAY()&gt;15),"+15 DÍAS",IF(AND(H2-TODAY()&lt;=15,H2-TODAY()&gt;7),"+7 DÍAS","CRITICAL")))))</f>
        <v>+2 MES</v>
      </c>
    </row>
    <row r="3" spans="1:10">
      <c r="A3" s="9">
        <v>45680</v>
      </c>
      <c r="B3" s="9">
        <v>45710</v>
      </c>
      <c r="C3" s="9" t="str">
        <f ca="1">IF(B3&lt;TODAY(),"CADUCADO",IF(B3-TODAY()&gt;=60,"+2 MES",IF(AND(B3-TODAY()&lt;60,B3-TODAY()&gt;=30),"+1 MES",IF(AND(B3-TODAY()&lt;30,B3-TODAY()&gt;15),"+15 DÍAS",IF(AND(B3-TODAY()&lt;=15,B3-TODAY()&gt;7),"+7 DÍAS","CRITICAL")))))</f>
        <v>CADUCADO</v>
      </c>
      <c r="D3" s="11" t="s">
        <v>10</v>
      </c>
      <c r="E3" s="1" t="s">
        <v>11</v>
      </c>
      <c r="F3" s="2"/>
      <c r="G3" s="9"/>
      <c r="H3" s="9">
        <v>46053</v>
      </c>
      <c r="I3" s="9" t="str">
        <f t="shared" ca="1" si="0"/>
        <v>+2 MES</v>
      </c>
    </row>
    <row r="4" spans="1:10">
      <c r="A4" s="9">
        <v>45687</v>
      </c>
      <c r="B4" s="9">
        <v>45716</v>
      </c>
      <c r="C4" s="9" t="str">
        <f ca="1">IF(B4&lt;TODAY(),"CADUCADO",IF(B4-TODAY()&gt;=60,"+2 MES",IF(AND(B4-TODAY()&lt;60,B4-TODAY()&gt;=30),"+1 MES",IF(AND(B4-TODAY()&lt;30,B4-TODAY()&gt;15),"+15 DÍAS",IF(AND(B4-TODAY()&lt;=15,B4-TODAY()&gt;7),"+7 DÍAS","CRITICAL")))))</f>
        <v>CADUCADO</v>
      </c>
      <c r="D4" s="11" t="s">
        <v>12</v>
      </c>
      <c r="E4" s="1" t="s">
        <v>11</v>
      </c>
      <c r="F4" s="2"/>
      <c r="G4" s="9"/>
      <c r="H4" s="9">
        <v>46052</v>
      </c>
      <c r="I4" s="9" t="str">
        <f t="shared" ca="1" si="0"/>
        <v>+2 MES</v>
      </c>
    </row>
    <row r="5" spans="1:10">
      <c r="A5" s="9">
        <v>45687</v>
      </c>
      <c r="B5" s="9">
        <v>45716</v>
      </c>
      <c r="C5" s="9" t="str">
        <f t="shared" ref="C5:C67" ca="1" si="1">IF(B5&lt;TODAY(),"CADUCADO",IF(B5-TODAY()&gt;=60,"+2 MES",IF(AND(B5-TODAY()&lt;60,B5-TODAY()&gt;=30),"+1 MES",IF(AND(B5-TODAY()&lt;30,B5-TODAY()&gt;15),"+15 DÍAS",IF(AND(B5-TODAY()&lt;=15,B5-TODAY()&gt;7),"+7 DÍAS","CRITICAL")))))</f>
        <v>CADUCADO</v>
      </c>
      <c r="D5" s="11" t="s">
        <v>13</v>
      </c>
      <c r="E5" s="1" t="s">
        <v>11</v>
      </c>
      <c r="F5" s="2"/>
      <c r="G5" s="9"/>
      <c r="H5" s="9">
        <v>46052</v>
      </c>
      <c r="I5" s="9" t="str">
        <f t="shared" ca="1" si="0"/>
        <v>+2 MES</v>
      </c>
    </row>
    <row r="6" spans="1:10">
      <c r="A6" s="9">
        <v>45796</v>
      </c>
      <c r="B6" s="9">
        <v>45806</v>
      </c>
      <c r="C6" s="9" t="str">
        <f t="shared" ca="1" si="1"/>
        <v>CADUCADO</v>
      </c>
      <c r="D6" s="11" t="s">
        <v>14</v>
      </c>
      <c r="E6" s="1" t="s">
        <v>321</v>
      </c>
      <c r="F6" s="2" t="s">
        <v>63</v>
      </c>
      <c r="G6" s="9">
        <v>45796</v>
      </c>
      <c r="H6" s="9">
        <v>46161</v>
      </c>
      <c r="I6" s="9" t="str">
        <f t="shared" ca="1" si="0"/>
        <v>+2 MES</v>
      </c>
    </row>
    <row r="7" spans="1:10">
      <c r="A7" s="9">
        <v>45687</v>
      </c>
      <c r="B7" s="9">
        <v>45716</v>
      </c>
      <c r="C7" s="9" t="str">
        <f t="shared" ca="1" si="1"/>
        <v>CADUCADO</v>
      </c>
      <c r="D7" s="11" t="s">
        <v>15</v>
      </c>
      <c r="E7" s="1" t="s">
        <v>11</v>
      </c>
      <c r="F7" s="2"/>
      <c r="G7" s="9"/>
      <c r="H7" s="9">
        <v>46052</v>
      </c>
      <c r="I7" s="9" t="str">
        <f t="shared" ca="1" si="0"/>
        <v>+2 MES</v>
      </c>
    </row>
    <row r="8" spans="1:10">
      <c r="A8" s="9">
        <v>45796</v>
      </c>
      <c r="B8" s="9">
        <v>45806</v>
      </c>
      <c r="C8" s="9" t="str">
        <f t="shared" ca="1" si="1"/>
        <v>CADUCADO</v>
      </c>
      <c r="D8" s="11" t="s">
        <v>16</v>
      </c>
      <c r="E8" s="1" t="s">
        <v>321</v>
      </c>
      <c r="F8" s="2" t="s">
        <v>63</v>
      </c>
      <c r="G8" s="9">
        <v>45796</v>
      </c>
      <c r="H8" s="9">
        <v>46161</v>
      </c>
      <c r="I8" s="9" t="str">
        <f t="shared" ca="1" si="0"/>
        <v>+2 MES</v>
      </c>
    </row>
    <row r="9" spans="1:10">
      <c r="A9" s="9">
        <v>45796</v>
      </c>
      <c r="B9" s="9">
        <v>45806</v>
      </c>
      <c r="C9" s="9" t="str">
        <f t="shared" ca="1" si="1"/>
        <v>CADUCADO</v>
      </c>
      <c r="D9" s="11" t="s">
        <v>17</v>
      </c>
      <c r="E9" s="1" t="s">
        <v>321</v>
      </c>
      <c r="F9" s="2" t="s">
        <v>63</v>
      </c>
      <c r="G9" s="9">
        <v>45796</v>
      </c>
      <c r="H9" s="9">
        <v>46161</v>
      </c>
      <c r="I9" s="9" t="str">
        <f t="shared" ca="1" si="0"/>
        <v>+2 MES</v>
      </c>
    </row>
    <row r="10" spans="1:10">
      <c r="A10" s="9">
        <v>45796</v>
      </c>
      <c r="B10" s="9">
        <v>45806</v>
      </c>
      <c r="C10" s="9" t="str">
        <f t="shared" ca="1" si="1"/>
        <v>CADUCADO</v>
      </c>
      <c r="D10" s="11" t="s">
        <v>18</v>
      </c>
      <c r="E10" s="1" t="s">
        <v>321</v>
      </c>
      <c r="F10" s="2" t="s">
        <v>63</v>
      </c>
      <c r="G10" s="9">
        <v>45796</v>
      </c>
      <c r="H10" s="9">
        <v>46161</v>
      </c>
      <c r="I10" s="9" t="str">
        <f t="shared" ca="1" si="0"/>
        <v>+2 MES</v>
      </c>
    </row>
    <row r="11" spans="1:10">
      <c r="A11" s="9">
        <v>45687</v>
      </c>
      <c r="B11" s="9">
        <v>45716</v>
      </c>
      <c r="C11" s="9" t="str">
        <f t="shared" ca="1" si="1"/>
        <v>CADUCADO</v>
      </c>
      <c r="D11" s="11" t="s">
        <v>19</v>
      </c>
      <c r="E11" s="1" t="s">
        <v>11</v>
      </c>
      <c r="F11" s="2"/>
      <c r="G11" s="9"/>
      <c r="H11" s="9">
        <v>46052</v>
      </c>
      <c r="I11" s="9" t="str">
        <f t="shared" ca="1" si="0"/>
        <v>+2 MES</v>
      </c>
    </row>
    <row r="12" spans="1:10">
      <c r="A12" s="9">
        <v>45687</v>
      </c>
      <c r="B12" s="9">
        <v>45716</v>
      </c>
      <c r="C12" s="9" t="str">
        <f t="shared" ca="1" si="1"/>
        <v>CADUCADO</v>
      </c>
      <c r="D12" s="11" t="s">
        <v>20</v>
      </c>
      <c r="E12" s="1" t="s">
        <v>11</v>
      </c>
      <c r="F12" s="2"/>
      <c r="G12" s="9"/>
      <c r="H12" s="9">
        <v>46052</v>
      </c>
      <c r="I12" s="9" t="str">
        <f t="shared" ca="1" si="0"/>
        <v>+2 MES</v>
      </c>
    </row>
    <row r="13" spans="1:10">
      <c r="A13" s="9">
        <v>45687</v>
      </c>
      <c r="B13" s="9">
        <v>45716</v>
      </c>
      <c r="C13" s="9" t="str">
        <f t="shared" ca="1" si="1"/>
        <v>CADUCADO</v>
      </c>
      <c r="D13" s="11" t="s">
        <v>21</v>
      </c>
      <c r="E13" s="1" t="s">
        <v>11</v>
      </c>
      <c r="F13" s="2"/>
      <c r="G13" s="9"/>
      <c r="H13" s="9">
        <v>46052</v>
      </c>
      <c r="I13" s="9" t="str">
        <f t="shared" ca="1" si="0"/>
        <v>+2 MES</v>
      </c>
    </row>
    <row r="14" spans="1:10">
      <c r="A14" s="9">
        <v>45687</v>
      </c>
      <c r="B14" s="9">
        <v>45716</v>
      </c>
      <c r="C14" s="9" t="str">
        <f t="shared" ca="1" si="1"/>
        <v>CADUCADO</v>
      </c>
      <c r="D14" s="11" t="s">
        <v>22</v>
      </c>
      <c r="E14" s="1" t="s">
        <v>11</v>
      </c>
      <c r="F14" s="2"/>
      <c r="G14" s="9"/>
      <c r="H14" s="9">
        <v>46053</v>
      </c>
      <c r="I14" s="9" t="str">
        <f t="shared" ca="1" si="0"/>
        <v>+2 MES</v>
      </c>
    </row>
    <row r="15" spans="1:10">
      <c r="A15" s="9">
        <v>45687</v>
      </c>
      <c r="B15" s="9">
        <v>45716</v>
      </c>
      <c r="C15" s="9" t="str">
        <f t="shared" ca="1" si="1"/>
        <v>CADUCADO</v>
      </c>
      <c r="D15" s="11" t="s">
        <v>23</v>
      </c>
      <c r="E15" s="1" t="s">
        <v>11</v>
      </c>
      <c r="F15" s="2"/>
      <c r="G15" s="9"/>
      <c r="H15" s="9">
        <v>46156</v>
      </c>
      <c r="I15" s="9" t="str">
        <f t="shared" ca="1" si="0"/>
        <v>+2 MES</v>
      </c>
    </row>
    <row r="16" spans="1:10">
      <c r="A16" s="9">
        <v>45687</v>
      </c>
      <c r="B16" s="9">
        <v>45716</v>
      </c>
      <c r="C16" s="9" t="str">
        <f t="shared" ca="1" si="1"/>
        <v>CADUCADO</v>
      </c>
      <c r="D16" s="11" t="s">
        <v>24</v>
      </c>
      <c r="E16" s="1" t="s">
        <v>11</v>
      </c>
      <c r="F16" s="2"/>
      <c r="G16" s="9"/>
      <c r="H16" s="9">
        <v>46156</v>
      </c>
      <c r="I16" s="9" t="str">
        <f t="shared" ca="1" si="0"/>
        <v>+2 MES</v>
      </c>
    </row>
    <row r="17" spans="1:10">
      <c r="A17" s="9">
        <v>45687</v>
      </c>
      <c r="B17" s="9">
        <v>45716</v>
      </c>
      <c r="C17" s="9" t="str">
        <f t="shared" ca="1" si="1"/>
        <v>CADUCADO</v>
      </c>
      <c r="D17" s="11" t="s">
        <v>25</v>
      </c>
      <c r="E17" s="1" t="s">
        <v>11</v>
      </c>
      <c r="F17" s="2"/>
      <c r="G17" s="9"/>
      <c r="H17" s="9">
        <v>46052</v>
      </c>
      <c r="I17" s="9" t="str">
        <f t="shared" ca="1" si="0"/>
        <v>+2 MES</v>
      </c>
    </row>
    <row r="18" spans="1:10">
      <c r="A18" s="9">
        <v>45796</v>
      </c>
      <c r="B18" s="9">
        <v>45806</v>
      </c>
      <c r="C18" s="9" t="str">
        <f t="shared" ca="1" si="1"/>
        <v>CADUCADO</v>
      </c>
      <c r="D18" s="11" t="s">
        <v>324</v>
      </c>
      <c r="E18" s="1" t="s">
        <v>321</v>
      </c>
      <c r="F18" s="2" t="s">
        <v>63</v>
      </c>
      <c r="G18" s="9">
        <v>45796</v>
      </c>
      <c r="H18" s="9">
        <v>46161</v>
      </c>
      <c r="I18" s="9" t="str">
        <f t="shared" ca="1" si="0"/>
        <v>+2 MES</v>
      </c>
    </row>
    <row r="19" spans="1:10">
      <c r="A19" s="9">
        <v>45796</v>
      </c>
      <c r="B19" s="9">
        <v>45806</v>
      </c>
      <c r="C19" s="9" t="str">
        <f t="shared" ca="1" si="1"/>
        <v>CADUCADO</v>
      </c>
      <c r="D19" s="11" t="s">
        <v>325</v>
      </c>
      <c r="E19" s="1" t="s">
        <v>321</v>
      </c>
      <c r="F19" s="2" t="s">
        <v>63</v>
      </c>
      <c r="G19" s="9">
        <v>45796</v>
      </c>
      <c r="H19" s="9">
        <v>46161</v>
      </c>
      <c r="I19" s="9" t="str">
        <f t="shared" ca="1" si="0"/>
        <v>+2 MES</v>
      </c>
    </row>
    <row r="20" spans="1:10">
      <c r="A20" s="9">
        <v>45687</v>
      </c>
      <c r="B20" s="9">
        <v>45716</v>
      </c>
      <c r="C20" s="9" t="str">
        <f t="shared" ca="1" si="1"/>
        <v>CADUCADO</v>
      </c>
      <c r="D20" s="11" t="s">
        <v>26</v>
      </c>
      <c r="E20" s="1" t="s">
        <v>11</v>
      </c>
      <c r="F20" s="2"/>
      <c r="G20" s="9"/>
      <c r="H20" s="9">
        <v>46052</v>
      </c>
      <c r="I20" s="9" t="str">
        <f t="shared" ca="1" si="0"/>
        <v>+2 MES</v>
      </c>
    </row>
    <row r="21" spans="1:10">
      <c r="A21" s="9">
        <v>45692</v>
      </c>
      <c r="B21" s="9">
        <v>45721</v>
      </c>
      <c r="C21" s="9" t="str">
        <f t="shared" ca="1" si="1"/>
        <v>CADUCADO</v>
      </c>
      <c r="D21" s="11" t="s">
        <v>27</v>
      </c>
      <c r="E21" s="1" t="s">
        <v>11</v>
      </c>
      <c r="F21" s="2"/>
      <c r="G21" s="9"/>
      <c r="H21" s="9">
        <v>46070</v>
      </c>
      <c r="I21" s="9" t="str">
        <f t="shared" ca="1" si="0"/>
        <v>+2 MES</v>
      </c>
    </row>
    <row r="22" spans="1:10">
      <c r="A22" s="9">
        <v>45691</v>
      </c>
      <c r="B22" s="9">
        <v>45720</v>
      </c>
      <c r="C22" s="9" t="str">
        <f t="shared" ca="1" si="1"/>
        <v>CADUCADO</v>
      </c>
      <c r="D22" s="11" t="s">
        <v>28</v>
      </c>
      <c r="E22" s="1" t="s">
        <v>11</v>
      </c>
      <c r="F22" s="2"/>
      <c r="G22" s="9"/>
      <c r="H22" s="9">
        <v>46070</v>
      </c>
      <c r="I22" s="9" t="str">
        <f t="shared" ca="1" si="0"/>
        <v>+2 MES</v>
      </c>
    </row>
    <row r="23" spans="1:10">
      <c r="A23" s="9">
        <v>45692</v>
      </c>
      <c r="B23" s="9">
        <v>45703</v>
      </c>
      <c r="C23" s="9" t="str">
        <f t="shared" ca="1" si="1"/>
        <v>CADUCADO</v>
      </c>
      <c r="D23" s="11" t="s">
        <v>29</v>
      </c>
      <c r="E23" s="1" t="s">
        <v>11</v>
      </c>
      <c r="F23" s="2"/>
      <c r="G23" s="9">
        <v>45701</v>
      </c>
      <c r="H23" s="9">
        <v>46066</v>
      </c>
      <c r="I23" s="9" t="str">
        <f t="shared" ca="1" si="0"/>
        <v>+2 MES</v>
      </c>
    </row>
    <row r="24" spans="1:10">
      <c r="A24" s="9">
        <v>45694</v>
      </c>
      <c r="B24" s="9" t="s">
        <v>48</v>
      </c>
      <c r="C24" s="9" t="e">
        <f t="shared" ca="1" si="1"/>
        <v>#VALUE!</v>
      </c>
      <c r="D24" s="11" t="s">
        <v>30</v>
      </c>
      <c r="E24" s="1" t="s">
        <v>31</v>
      </c>
      <c r="F24" s="2" t="s">
        <v>32</v>
      </c>
      <c r="G24" s="9">
        <v>45694</v>
      </c>
      <c r="H24" s="9">
        <v>46059</v>
      </c>
      <c r="I24" s="9" t="str">
        <f t="shared" ca="1" si="0"/>
        <v>+2 MES</v>
      </c>
    </row>
    <row r="25" spans="1:10">
      <c r="A25" s="9"/>
      <c r="B25" s="9">
        <v>45742</v>
      </c>
      <c r="C25" s="9" t="str">
        <f t="shared" ca="1" si="1"/>
        <v>CADUCADO</v>
      </c>
      <c r="D25" s="11" t="s">
        <v>33</v>
      </c>
      <c r="E25" s="1" t="s">
        <v>11</v>
      </c>
      <c r="F25" s="2"/>
      <c r="G25" s="9"/>
      <c r="H25" s="9">
        <v>46084</v>
      </c>
      <c r="I25" s="9" t="str">
        <f t="shared" ca="1" si="0"/>
        <v>+2 MES</v>
      </c>
    </row>
    <row r="26" spans="1:10">
      <c r="A26" s="9"/>
      <c r="B26" s="9">
        <v>45737</v>
      </c>
      <c r="C26" s="9" t="str">
        <f t="shared" ca="1" si="1"/>
        <v>CADUCADO</v>
      </c>
      <c r="D26" s="11" t="s">
        <v>34</v>
      </c>
      <c r="E26" s="1" t="s">
        <v>11</v>
      </c>
      <c r="F26" s="2"/>
      <c r="G26" s="9"/>
      <c r="H26" s="9">
        <v>46107</v>
      </c>
      <c r="I26" s="9" t="str">
        <f t="shared" ca="1" si="0"/>
        <v>+2 MES</v>
      </c>
      <c r="J26" s="1" t="s">
        <v>35</v>
      </c>
    </row>
    <row r="27" spans="1:10">
      <c r="A27" s="9"/>
      <c r="B27" s="9">
        <v>45737</v>
      </c>
      <c r="C27" s="9" t="str">
        <f t="shared" ca="1" si="1"/>
        <v>CADUCADO</v>
      </c>
      <c r="D27" s="11" t="s">
        <v>36</v>
      </c>
      <c r="E27" s="1" t="s">
        <v>11</v>
      </c>
      <c r="F27" s="2"/>
      <c r="G27" s="9"/>
      <c r="H27" s="9">
        <v>46107</v>
      </c>
      <c r="I27" s="9" t="str">
        <f t="shared" ca="1" si="0"/>
        <v>+2 MES</v>
      </c>
      <c r="J27" s="1" t="s">
        <v>35</v>
      </c>
    </row>
    <row r="28" spans="1:10">
      <c r="A28" s="9">
        <v>2</v>
      </c>
      <c r="B28" s="9">
        <v>45737</v>
      </c>
      <c r="C28" s="9" t="str">
        <f t="shared" ca="1" si="1"/>
        <v>CADUCADO</v>
      </c>
      <c r="D28" s="11" t="s">
        <v>37</v>
      </c>
      <c r="E28" s="1" t="s">
        <v>11</v>
      </c>
      <c r="F28" s="2"/>
      <c r="G28" s="9"/>
      <c r="H28" s="9">
        <v>46107</v>
      </c>
      <c r="I28" s="9" t="str">
        <f t="shared" ca="1" si="0"/>
        <v>+2 MES</v>
      </c>
      <c r="J28" s="1" t="s">
        <v>35</v>
      </c>
    </row>
    <row r="29" spans="1:10">
      <c r="A29" s="9">
        <v>45707</v>
      </c>
      <c r="B29" s="9" t="s">
        <v>48</v>
      </c>
      <c r="C29" s="9" t="e">
        <f t="shared" ca="1" si="1"/>
        <v>#VALUE!</v>
      </c>
      <c r="D29" s="11" t="s">
        <v>38</v>
      </c>
      <c r="E29" s="1" t="s">
        <v>31</v>
      </c>
      <c r="F29" s="2"/>
      <c r="G29" s="9"/>
      <c r="H29" s="9">
        <v>46072</v>
      </c>
      <c r="I29" s="9" t="str">
        <f t="shared" ca="1" si="0"/>
        <v>+2 MES</v>
      </c>
    </row>
    <row r="30" spans="1:10">
      <c r="A30" s="9">
        <v>45707</v>
      </c>
      <c r="B30" s="9" t="s">
        <v>48</v>
      </c>
      <c r="C30" s="9" t="e">
        <f t="shared" ca="1" si="1"/>
        <v>#VALUE!</v>
      </c>
      <c r="D30" s="11" t="s">
        <v>39</v>
      </c>
      <c r="E30" s="1" t="s">
        <v>31</v>
      </c>
      <c r="F30" s="2"/>
      <c r="G30" s="9"/>
      <c r="H30" s="9">
        <v>46072</v>
      </c>
      <c r="I30" s="9" t="str">
        <f t="shared" ca="1" si="0"/>
        <v>+2 MES</v>
      </c>
    </row>
    <row r="31" spans="1:10">
      <c r="A31" s="9">
        <v>45707</v>
      </c>
      <c r="B31" s="9" t="s">
        <v>48</v>
      </c>
      <c r="C31" s="9" t="e">
        <f t="shared" ca="1" si="1"/>
        <v>#VALUE!</v>
      </c>
      <c r="D31" s="11" t="s">
        <v>40</v>
      </c>
      <c r="E31" s="1" t="s">
        <v>31</v>
      </c>
      <c r="F31" s="2"/>
      <c r="G31" s="9"/>
      <c r="H31" s="9">
        <v>46072</v>
      </c>
      <c r="I31" s="9" t="str">
        <f t="shared" ca="1" si="0"/>
        <v>+2 MES</v>
      </c>
    </row>
    <row r="32" spans="1:10">
      <c r="A32" s="9">
        <v>45707</v>
      </c>
      <c r="B32" s="9" t="s">
        <v>48</v>
      </c>
      <c r="C32" s="9" t="e">
        <f t="shared" ca="1" si="1"/>
        <v>#VALUE!</v>
      </c>
      <c r="D32" s="11" t="s">
        <v>41</v>
      </c>
      <c r="E32" s="1" t="s">
        <v>31</v>
      </c>
      <c r="F32" s="2"/>
      <c r="G32" s="9"/>
      <c r="H32" s="9">
        <v>46072</v>
      </c>
      <c r="I32" s="9" t="str">
        <f t="shared" ca="1" si="0"/>
        <v>+2 MES</v>
      </c>
    </row>
    <row r="33" spans="1:10">
      <c r="A33" s="9">
        <v>45708</v>
      </c>
      <c r="B33" s="9" t="s">
        <v>48</v>
      </c>
      <c r="C33" s="9" t="e">
        <f t="shared" ca="1" si="1"/>
        <v>#VALUE!</v>
      </c>
      <c r="D33" s="11" t="s">
        <v>42</v>
      </c>
      <c r="E33" s="1" t="s">
        <v>31</v>
      </c>
      <c r="F33" s="2"/>
      <c r="G33" s="9"/>
      <c r="H33" s="9">
        <v>46078</v>
      </c>
      <c r="I33" s="9" t="str">
        <f t="shared" ca="1" si="0"/>
        <v>+2 MES</v>
      </c>
      <c r="J33" s="1" t="s">
        <v>43</v>
      </c>
    </row>
    <row r="34" spans="1:10">
      <c r="A34" s="9">
        <v>45712</v>
      </c>
      <c r="B34" s="9">
        <v>45737</v>
      </c>
      <c r="C34" s="9" t="str">
        <f t="shared" ca="1" si="1"/>
        <v>CADUCADO</v>
      </c>
      <c r="D34" s="11" t="s">
        <v>44</v>
      </c>
      <c r="E34" s="1" t="s">
        <v>11</v>
      </c>
      <c r="F34" s="2"/>
      <c r="G34" s="9"/>
      <c r="H34" s="9">
        <v>46079</v>
      </c>
      <c r="I34" s="9" t="str">
        <f t="shared" ca="1" si="0"/>
        <v>+2 MES</v>
      </c>
      <c r="J34" s="1" t="s">
        <v>45</v>
      </c>
    </row>
    <row r="35" spans="1:10">
      <c r="A35" s="9">
        <v>45712</v>
      </c>
      <c r="B35" s="9">
        <v>45737</v>
      </c>
      <c r="C35" s="9" t="str">
        <f t="shared" ca="1" si="1"/>
        <v>CADUCADO</v>
      </c>
      <c r="D35" s="11" t="s">
        <v>46</v>
      </c>
      <c r="E35" s="1" t="s">
        <v>11</v>
      </c>
      <c r="F35" s="2"/>
      <c r="G35" s="9"/>
      <c r="H35" s="9">
        <v>46079</v>
      </c>
      <c r="I35" s="9" t="str">
        <f t="shared" ca="1" si="0"/>
        <v>+2 MES</v>
      </c>
    </row>
    <row r="36" spans="1:10">
      <c r="A36" s="9">
        <v>45716</v>
      </c>
      <c r="B36" s="9">
        <v>45720</v>
      </c>
      <c r="C36" s="9" t="str">
        <f t="shared" ca="1" si="1"/>
        <v>CADUCADO</v>
      </c>
      <c r="D36" s="11" t="s">
        <v>47</v>
      </c>
      <c r="F36" s="2"/>
      <c r="G36" s="9"/>
      <c r="H36" s="9">
        <v>46081</v>
      </c>
      <c r="I36" s="9" t="str">
        <f t="shared" ca="1" si="0"/>
        <v>+2 MES</v>
      </c>
      <c r="J36" s="1" t="s">
        <v>45</v>
      </c>
    </row>
    <row r="37" spans="1:10">
      <c r="A37" s="9">
        <v>45716</v>
      </c>
      <c r="B37" s="9" t="s">
        <v>48</v>
      </c>
      <c r="C37" s="9" t="e">
        <f t="shared" ca="1" si="1"/>
        <v>#VALUE!</v>
      </c>
      <c r="D37" s="11" t="s">
        <v>49</v>
      </c>
      <c r="F37" s="2"/>
      <c r="G37" s="9"/>
      <c r="H37" s="9">
        <v>46081</v>
      </c>
      <c r="I37" s="9" t="str">
        <f t="shared" ca="1" si="0"/>
        <v>+2 MES</v>
      </c>
    </row>
    <row r="38" spans="1:10">
      <c r="A38" s="9">
        <v>45716</v>
      </c>
      <c r="B38" s="9" t="s">
        <v>48</v>
      </c>
      <c r="C38" s="9" t="e">
        <f t="shared" ca="1" si="1"/>
        <v>#VALUE!</v>
      </c>
      <c r="D38" s="11" t="s">
        <v>50</v>
      </c>
      <c r="F38" s="2"/>
      <c r="G38" s="9"/>
      <c r="H38" s="9">
        <v>46081</v>
      </c>
      <c r="I38" s="9" t="str">
        <f t="shared" ca="1" si="0"/>
        <v>+2 MES</v>
      </c>
    </row>
    <row r="39" spans="1:10">
      <c r="A39" s="9">
        <v>45720</v>
      </c>
      <c r="B39" s="9">
        <v>45721</v>
      </c>
      <c r="C39" s="9" t="str">
        <f t="shared" ca="1" si="1"/>
        <v>CADUCADO</v>
      </c>
      <c r="D39" s="11" t="s">
        <v>51</v>
      </c>
      <c r="F39" s="2"/>
      <c r="G39" s="9"/>
      <c r="H39" s="9">
        <v>46086</v>
      </c>
      <c r="I39" s="9" t="str">
        <f t="shared" ca="1" si="0"/>
        <v>+2 MES</v>
      </c>
      <c r="J39" s="1" t="s">
        <v>52</v>
      </c>
    </row>
    <row r="40" spans="1:10">
      <c r="A40" s="9">
        <v>45720</v>
      </c>
      <c r="B40" s="9">
        <v>45721</v>
      </c>
      <c r="C40" s="9" t="str">
        <f t="shared" ca="1" si="1"/>
        <v>CADUCADO</v>
      </c>
      <c r="D40" s="11" t="s">
        <v>53</v>
      </c>
      <c r="F40" s="2"/>
      <c r="G40" s="9"/>
      <c r="H40" s="9">
        <v>46086</v>
      </c>
      <c r="I40" s="9" t="str">
        <f t="shared" ca="1" si="0"/>
        <v>+2 MES</v>
      </c>
      <c r="J40" s="1" t="s">
        <v>52</v>
      </c>
    </row>
    <row r="41" spans="1:10">
      <c r="A41" s="9">
        <v>45720</v>
      </c>
      <c r="B41" s="9">
        <v>45721</v>
      </c>
      <c r="C41" s="9" t="str">
        <f t="shared" ca="1" si="1"/>
        <v>CADUCADO</v>
      </c>
      <c r="D41" s="11" t="s">
        <v>26</v>
      </c>
      <c r="E41" s="1" t="s">
        <v>54</v>
      </c>
      <c r="F41" s="2"/>
      <c r="G41" s="9"/>
      <c r="H41" s="9">
        <v>46086</v>
      </c>
      <c r="I41" s="9" t="str">
        <f t="shared" ca="1" si="0"/>
        <v>+2 MES</v>
      </c>
    </row>
    <row r="42" spans="1:10">
      <c r="A42" s="9"/>
      <c r="B42" s="9">
        <v>45721</v>
      </c>
      <c r="C42" s="9" t="str">
        <f t="shared" ca="1" si="1"/>
        <v>CADUCADO</v>
      </c>
      <c r="D42" s="11" t="s">
        <v>55</v>
      </c>
      <c r="E42" s="1" t="s">
        <v>56</v>
      </c>
      <c r="F42" s="2"/>
      <c r="G42" s="9"/>
      <c r="H42" s="9">
        <v>46086</v>
      </c>
      <c r="I42" s="9" t="str">
        <f t="shared" ca="1" si="0"/>
        <v>+2 MES</v>
      </c>
    </row>
    <row r="43" spans="1:10">
      <c r="A43" s="9"/>
      <c r="B43" s="9">
        <v>45722</v>
      </c>
      <c r="C43" s="9" t="str">
        <f t="shared" ca="1" si="1"/>
        <v>CADUCADO</v>
      </c>
      <c r="D43" s="11" t="s">
        <v>57</v>
      </c>
      <c r="E43" s="1" t="s">
        <v>397</v>
      </c>
      <c r="F43" s="2" t="s">
        <v>63</v>
      </c>
      <c r="G43" s="9">
        <v>45826</v>
      </c>
      <c r="H43" s="9">
        <v>46191</v>
      </c>
      <c r="I43" s="9" t="str">
        <f t="shared" ca="1" si="0"/>
        <v>+2 MES</v>
      </c>
    </row>
    <row r="44" spans="1:10">
      <c r="A44" s="9"/>
      <c r="B44" s="9">
        <v>45791</v>
      </c>
      <c r="C44" s="9" t="str">
        <f t="shared" ca="1" si="1"/>
        <v>CADUCADO</v>
      </c>
      <c r="D44" s="11" t="s">
        <v>58</v>
      </c>
      <c r="F44" s="2"/>
      <c r="G44" s="9"/>
      <c r="H44" s="9">
        <v>46126</v>
      </c>
      <c r="I44" s="9" t="str">
        <f t="shared" ca="1" si="0"/>
        <v>+2 MES</v>
      </c>
      <c r="J44" s="1" t="s">
        <v>59</v>
      </c>
    </row>
    <row r="45" spans="1:10">
      <c r="A45" s="9"/>
      <c r="B45" s="9">
        <v>45788</v>
      </c>
      <c r="C45" s="9" t="str">
        <f t="shared" ca="1" si="1"/>
        <v>CADUCADO</v>
      </c>
      <c r="D45" s="11" t="s">
        <v>60</v>
      </c>
      <c r="F45" s="2"/>
      <c r="G45" s="9"/>
      <c r="H45" s="9">
        <v>46126</v>
      </c>
      <c r="I45" s="9" t="str">
        <f t="shared" ca="1" si="0"/>
        <v>+2 MES</v>
      </c>
      <c r="J45" s="1" t="s">
        <v>61</v>
      </c>
    </row>
    <row r="46" spans="1:10">
      <c r="A46" s="9">
        <v>45726</v>
      </c>
      <c r="B46" s="9"/>
      <c r="C46" s="9" t="str">
        <f t="shared" ca="1" si="1"/>
        <v>CADUCADO</v>
      </c>
      <c r="D46" s="11" t="s">
        <v>62</v>
      </c>
      <c r="E46" s="1" t="s">
        <v>56</v>
      </c>
      <c r="F46" s="2" t="s">
        <v>63</v>
      </c>
      <c r="G46" s="9">
        <v>45726</v>
      </c>
      <c r="H46" s="9">
        <v>46091</v>
      </c>
      <c r="I46" s="9" t="str">
        <f t="shared" ca="1" si="0"/>
        <v>+2 MES</v>
      </c>
    </row>
    <row r="47" spans="1:10">
      <c r="A47" s="9">
        <v>45727</v>
      </c>
      <c r="B47" s="9"/>
      <c r="C47" s="9" t="str">
        <f t="shared" ca="1" si="1"/>
        <v>CADUCADO</v>
      </c>
      <c r="D47" s="11" t="s">
        <v>64</v>
      </c>
      <c r="E47" s="1" t="s">
        <v>65</v>
      </c>
      <c r="F47" s="2" t="s">
        <v>63</v>
      </c>
      <c r="G47" s="9"/>
      <c r="H47" s="9">
        <v>46092</v>
      </c>
      <c r="I47" s="9" t="str">
        <f t="shared" ca="1" si="0"/>
        <v>+2 MES</v>
      </c>
      <c r="J47" s="1" t="s">
        <v>66</v>
      </c>
    </row>
    <row r="48" spans="1:10">
      <c r="A48" s="9">
        <v>45757</v>
      </c>
      <c r="B48" s="9"/>
      <c r="C48" s="9" t="str">
        <f t="shared" ca="1" si="1"/>
        <v>CADUCADO</v>
      </c>
      <c r="D48" s="11" t="s">
        <v>67</v>
      </c>
      <c r="E48" s="1" t="s">
        <v>11</v>
      </c>
      <c r="F48" s="2" t="s">
        <v>63</v>
      </c>
      <c r="G48" s="9"/>
      <c r="H48" s="9">
        <v>46095</v>
      </c>
      <c r="I48" s="9" t="str">
        <f t="shared" ca="1" si="0"/>
        <v>+2 MES</v>
      </c>
    </row>
    <row r="49" spans="1:10">
      <c r="A49" s="9">
        <v>45730</v>
      </c>
      <c r="B49" s="9"/>
      <c r="C49" s="9" t="str">
        <f t="shared" ca="1" si="1"/>
        <v>CADUCADO</v>
      </c>
      <c r="D49" s="11" t="s">
        <v>68</v>
      </c>
      <c r="E49" s="1" t="s">
        <v>69</v>
      </c>
      <c r="F49" s="2" t="s">
        <v>63</v>
      </c>
      <c r="G49" s="9">
        <v>45730</v>
      </c>
      <c r="H49" s="9">
        <v>46095</v>
      </c>
      <c r="I49" s="9" t="str">
        <f t="shared" ca="1" si="0"/>
        <v>+2 MES</v>
      </c>
    </row>
    <row r="50" spans="1:10">
      <c r="A50" s="9">
        <v>45734</v>
      </c>
      <c r="B50" s="9">
        <v>45762</v>
      </c>
      <c r="C50" s="9" t="str">
        <f t="shared" ca="1" si="1"/>
        <v>CADUCADO</v>
      </c>
      <c r="D50" s="11" t="s">
        <v>70</v>
      </c>
      <c r="E50" s="1" t="s">
        <v>31</v>
      </c>
      <c r="F50" s="2" t="s">
        <v>63</v>
      </c>
      <c r="G50" s="9"/>
      <c r="H50" s="9">
        <v>46099</v>
      </c>
      <c r="I50" s="9" t="str">
        <f t="shared" ca="1" si="0"/>
        <v>+2 MES</v>
      </c>
    </row>
    <row r="51" spans="1:10">
      <c r="A51" s="9">
        <v>45734</v>
      </c>
      <c r="B51" s="9">
        <v>45762</v>
      </c>
      <c r="C51" s="9" t="str">
        <f t="shared" ca="1" si="1"/>
        <v>CADUCADO</v>
      </c>
      <c r="D51" s="11" t="s">
        <v>71</v>
      </c>
      <c r="E51" s="1" t="s">
        <v>31</v>
      </c>
      <c r="F51" s="2" t="s">
        <v>63</v>
      </c>
      <c r="G51" s="9"/>
      <c r="H51" s="9">
        <v>46099</v>
      </c>
      <c r="I51" s="9" t="str">
        <f t="shared" ca="1" si="0"/>
        <v>+2 MES</v>
      </c>
    </row>
    <row r="52" spans="1:10">
      <c r="A52" s="9">
        <v>45734</v>
      </c>
      <c r="B52" s="9">
        <v>45762</v>
      </c>
      <c r="C52" s="9" t="str">
        <f t="shared" ca="1" si="1"/>
        <v>CADUCADO</v>
      </c>
      <c r="D52" s="11" t="s">
        <v>72</v>
      </c>
      <c r="F52" s="2" t="s">
        <v>63</v>
      </c>
      <c r="G52" s="9"/>
      <c r="H52" s="9">
        <v>46144</v>
      </c>
      <c r="I52" s="9" t="str">
        <f t="shared" ca="1" si="0"/>
        <v>+2 MES</v>
      </c>
    </row>
    <row r="53" spans="1:10">
      <c r="A53" s="9">
        <v>45727</v>
      </c>
      <c r="B53" s="9">
        <v>45742</v>
      </c>
      <c r="C53" s="9" t="str">
        <f t="shared" ca="1" si="1"/>
        <v>CADUCADO</v>
      </c>
      <c r="D53" s="11" t="s">
        <v>73</v>
      </c>
      <c r="F53" s="2" t="s">
        <v>63</v>
      </c>
      <c r="G53" s="9"/>
      <c r="H53" s="9">
        <v>46100</v>
      </c>
      <c r="I53" s="9" t="str">
        <f t="shared" ca="1" si="0"/>
        <v>+2 MES</v>
      </c>
    </row>
    <row r="54" spans="1:10">
      <c r="A54" s="9">
        <v>45727</v>
      </c>
      <c r="B54" s="9">
        <v>45742</v>
      </c>
      <c r="C54" s="9" t="str">
        <f t="shared" ca="1" si="1"/>
        <v>CADUCADO</v>
      </c>
      <c r="D54" s="11" t="s">
        <v>74</v>
      </c>
      <c r="F54" s="2" t="s">
        <v>63</v>
      </c>
      <c r="G54" s="9"/>
      <c r="H54" s="9">
        <v>46107</v>
      </c>
      <c r="I54" s="9" t="str">
        <f t="shared" ca="1" si="0"/>
        <v>+2 MES</v>
      </c>
    </row>
    <row r="55" spans="1:10">
      <c r="A55" s="9">
        <v>45736</v>
      </c>
      <c r="B55" s="9">
        <v>45765</v>
      </c>
      <c r="C55" s="9" t="str">
        <f t="shared" ca="1" si="1"/>
        <v>CADUCADO</v>
      </c>
      <c r="D55" s="11" t="s">
        <v>75</v>
      </c>
      <c r="E55" s="1" t="s">
        <v>31</v>
      </c>
      <c r="F55" s="2" t="s">
        <v>63</v>
      </c>
      <c r="G55" s="9"/>
      <c r="H55" s="9">
        <v>46101</v>
      </c>
      <c r="I55" s="9" t="str">
        <f t="shared" ca="1" si="0"/>
        <v>+2 MES</v>
      </c>
      <c r="J55" s="1" t="s">
        <v>45</v>
      </c>
    </row>
    <row r="56" spans="1:10">
      <c r="A56" s="9">
        <v>45736</v>
      </c>
      <c r="B56" s="9"/>
      <c r="C56" s="9" t="str">
        <f t="shared" ca="1" si="1"/>
        <v>CADUCADO</v>
      </c>
      <c r="D56" s="11" t="s">
        <v>76</v>
      </c>
      <c r="E56" s="1" t="s">
        <v>31</v>
      </c>
      <c r="F56" s="2" t="s">
        <v>63</v>
      </c>
      <c r="G56" s="9"/>
      <c r="H56" s="9">
        <v>46246</v>
      </c>
      <c r="I56" s="9" t="str">
        <f t="shared" ca="1" si="0"/>
        <v>+2 MES</v>
      </c>
    </row>
    <row r="57" spans="1:10">
      <c r="A57" s="9">
        <v>45742</v>
      </c>
      <c r="B57" s="9">
        <v>45771</v>
      </c>
      <c r="C57" s="9" t="str">
        <f t="shared" ca="1" si="1"/>
        <v>CADUCADO</v>
      </c>
      <c r="D57" s="11" t="s">
        <v>77</v>
      </c>
      <c r="E57" s="1" t="s">
        <v>31</v>
      </c>
      <c r="F57" s="2" t="s">
        <v>63</v>
      </c>
      <c r="G57" s="9"/>
      <c r="H57" s="9">
        <v>46107</v>
      </c>
      <c r="I57" s="9" t="str">
        <f t="shared" ca="1" si="0"/>
        <v>+2 MES</v>
      </c>
    </row>
    <row r="58" spans="1:10">
      <c r="A58" s="9">
        <v>45740</v>
      </c>
      <c r="B58" s="9">
        <v>45769</v>
      </c>
      <c r="C58" s="9" t="str">
        <f t="shared" ca="1" si="1"/>
        <v>CADUCADO</v>
      </c>
      <c r="D58" s="11" t="s">
        <v>78</v>
      </c>
      <c r="E58" s="1" t="s">
        <v>31</v>
      </c>
      <c r="F58" s="2" t="s">
        <v>63</v>
      </c>
      <c r="G58" s="9"/>
      <c r="H58" s="9">
        <v>46107</v>
      </c>
      <c r="I58" s="9" t="str">
        <f t="shared" ca="1" si="0"/>
        <v>+2 MES</v>
      </c>
    </row>
    <row r="59" spans="1:10">
      <c r="A59" s="9"/>
      <c r="B59" s="9"/>
      <c r="C59" s="9" t="str">
        <f t="shared" ca="1" si="1"/>
        <v>CADUCADO</v>
      </c>
      <c r="D59" s="11" t="s">
        <v>79</v>
      </c>
      <c r="F59" s="2" t="s">
        <v>63</v>
      </c>
      <c r="G59" s="9"/>
      <c r="H59" s="9">
        <v>46107</v>
      </c>
      <c r="I59" s="9" t="str">
        <f t="shared" ca="1" si="0"/>
        <v>+2 MES</v>
      </c>
    </row>
    <row r="60" spans="1:10">
      <c r="A60" s="9">
        <v>45743</v>
      </c>
      <c r="B60" s="9">
        <v>45716</v>
      </c>
      <c r="C60" s="9" t="str">
        <f t="shared" ca="1" si="1"/>
        <v>CADUCADO</v>
      </c>
      <c r="D60" s="11" t="s">
        <v>22</v>
      </c>
      <c r="E60" s="1" t="s">
        <v>80</v>
      </c>
      <c r="F60" s="2" t="s">
        <v>63</v>
      </c>
      <c r="G60" s="9"/>
      <c r="H60" s="9">
        <v>46108</v>
      </c>
      <c r="I60" s="9" t="str">
        <f t="shared" ca="1" si="0"/>
        <v>+2 MES</v>
      </c>
    </row>
    <row r="61" spans="1:10">
      <c r="A61" s="9"/>
      <c r="B61" s="9">
        <v>45773</v>
      </c>
      <c r="C61" s="9" t="str">
        <f t="shared" ca="1" si="1"/>
        <v>CADUCADO</v>
      </c>
      <c r="D61" s="11" t="s">
        <v>83</v>
      </c>
      <c r="E61" s="1" t="s">
        <v>82</v>
      </c>
      <c r="F61" s="2" t="s">
        <v>63</v>
      </c>
      <c r="G61" s="9"/>
      <c r="H61" s="9">
        <v>46113</v>
      </c>
      <c r="I61" s="9" t="str">
        <f t="shared" ca="1" si="0"/>
        <v>+2 MES</v>
      </c>
    </row>
    <row r="62" spans="1:10">
      <c r="A62" s="9"/>
      <c r="B62" s="9">
        <v>45773</v>
      </c>
      <c r="C62" s="9" t="str">
        <f t="shared" ca="1" si="1"/>
        <v>CADUCADO</v>
      </c>
      <c r="D62" s="11" t="s">
        <v>84</v>
      </c>
      <c r="E62" s="1" t="s">
        <v>82</v>
      </c>
      <c r="F62" s="2" t="s">
        <v>63</v>
      </c>
      <c r="G62" s="9"/>
      <c r="H62" s="9">
        <v>46113</v>
      </c>
      <c r="I62" s="9" t="str">
        <f t="shared" ca="1" si="0"/>
        <v>+2 MES</v>
      </c>
    </row>
    <row r="63" spans="1:10">
      <c r="A63" s="9"/>
      <c r="B63" s="9">
        <v>45773</v>
      </c>
      <c r="C63" s="9" t="str">
        <f t="shared" ca="1" si="1"/>
        <v>CADUCADO</v>
      </c>
      <c r="D63" s="11" t="s">
        <v>85</v>
      </c>
      <c r="E63" s="1" t="s">
        <v>82</v>
      </c>
      <c r="F63" s="2" t="s">
        <v>63</v>
      </c>
      <c r="G63" s="9"/>
      <c r="H63" s="9">
        <v>46113</v>
      </c>
      <c r="I63" s="9" t="str">
        <f t="shared" ca="1" si="0"/>
        <v>+2 MES</v>
      </c>
    </row>
    <row r="64" spans="1:10">
      <c r="A64" s="9"/>
      <c r="B64" s="9">
        <v>45773</v>
      </c>
      <c r="C64" s="9" t="str">
        <f t="shared" ca="1" si="1"/>
        <v>CADUCADO</v>
      </c>
      <c r="D64" s="11" t="s">
        <v>86</v>
      </c>
      <c r="E64" s="1" t="s">
        <v>82</v>
      </c>
      <c r="F64" s="2" t="s">
        <v>63</v>
      </c>
      <c r="G64" s="9"/>
      <c r="H64" s="9">
        <v>46135</v>
      </c>
      <c r="I64" s="9" t="str">
        <f t="shared" ca="1" si="0"/>
        <v>+2 MES</v>
      </c>
    </row>
    <row r="65" spans="1:9">
      <c r="A65" s="9"/>
      <c r="B65" s="9">
        <v>45773</v>
      </c>
      <c r="C65" s="9" t="str">
        <f t="shared" ca="1" si="1"/>
        <v>CADUCADO</v>
      </c>
      <c r="D65" s="11" t="s">
        <v>87</v>
      </c>
      <c r="E65" s="1" t="s">
        <v>82</v>
      </c>
      <c r="F65" s="2" t="s">
        <v>63</v>
      </c>
      <c r="G65" s="9"/>
      <c r="H65" s="9">
        <v>46113</v>
      </c>
      <c r="I65" s="9" t="str">
        <f t="shared" ca="1" si="0"/>
        <v>+2 MES</v>
      </c>
    </row>
    <row r="66" spans="1:9">
      <c r="A66" s="9"/>
      <c r="B66" s="9">
        <v>45763</v>
      </c>
      <c r="C66" s="9" t="str">
        <f t="shared" ca="1" si="1"/>
        <v>CADUCADO</v>
      </c>
      <c r="D66" s="11" t="s">
        <v>71</v>
      </c>
      <c r="E66" s="1" t="s">
        <v>88</v>
      </c>
      <c r="F66" s="2" t="s">
        <v>63</v>
      </c>
      <c r="G66" s="9"/>
      <c r="H66" s="9">
        <v>46113</v>
      </c>
      <c r="I66" s="9" t="str">
        <f t="shared" ca="1" si="0"/>
        <v>+2 MES</v>
      </c>
    </row>
    <row r="67" spans="1:9">
      <c r="A67" s="9"/>
      <c r="B67" s="9">
        <v>45763</v>
      </c>
      <c r="C67" s="9" t="str">
        <f t="shared" ca="1" si="1"/>
        <v>CADUCADO</v>
      </c>
      <c r="D67" s="11" t="s">
        <v>70</v>
      </c>
      <c r="E67" s="1" t="s">
        <v>88</v>
      </c>
      <c r="F67" s="2" t="s">
        <v>63</v>
      </c>
      <c r="G67" s="9"/>
      <c r="H67" s="9">
        <v>46113</v>
      </c>
      <c r="I67" s="9" t="str">
        <f t="shared" ca="1" si="0"/>
        <v>+2 MES</v>
      </c>
    </row>
    <row r="68" spans="1:9">
      <c r="A68" s="9">
        <v>45754</v>
      </c>
      <c r="B68" s="9">
        <v>45766</v>
      </c>
      <c r="C68" s="9" t="str">
        <f t="shared" ref="C68:C77" ca="1" si="2">IF(B68&lt;TODAY(),"CADUCADO",IF(B68-TODAY()&gt;=60,"+2 MES",IF(AND(B68-TODAY()&lt;60,B68-TODAY()&gt;=30),"+1 MES",IF(AND(B68-TODAY()&lt;30,B68-TODAY()&gt;15),"+15 DÍAS",IF(AND(B68-TODAY()&lt;=15,B68-TODAY()&gt;7),"+7 DÍAS","CRITICAL")))))</f>
        <v>CADUCADO</v>
      </c>
      <c r="D68" s="11" t="s">
        <v>78</v>
      </c>
      <c r="E68" s="1" t="s">
        <v>89</v>
      </c>
      <c r="F68" s="2" t="s">
        <v>63</v>
      </c>
      <c r="G68" s="9"/>
      <c r="H68" s="9">
        <v>46107</v>
      </c>
      <c r="I68" s="9" t="str">
        <f t="shared" ref="I68:I113" ca="1" si="3">IF(H68&lt;TODAY(),"CADUCADO",IF(H68-TODAY()&gt;=60,"+2 MES",IF(AND(H68-TODAY()&lt;60,H68-TODAY()&gt;=30),"+1 MES",IF(AND(H68-TODAY()&lt;30,H68-TODAY()&gt;15),"+15 DÍAS",IF(AND(H68-TODAY()&lt;=15,H68-TODAY()&gt;7),"+7 DÍAS","CRITICAL")))))</f>
        <v>+2 MES</v>
      </c>
    </row>
    <row r="69" spans="1:9">
      <c r="A69" s="9">
        <v>45754</v>
      </c>
      <c r="B69" s="9">
        <v>45779</v>
      </c>
      <c r="C69" s="9" t="str">
        <f t="shared" ca="1" si="2"/>
        <v>CADUCADO</v>
      </c>
      <c r="D69" s="11" t="s">
        <v>90</v>
      </c>
      <c r="E69" s="1" t="s">
        <v>89</v>
      </c>
      <c r="F69" s="2" t="s">
        <v>63</v>
      </c>
      <c r="G69" s="9"/>
      <c r="H69" s="9">
        <v>46119</v>
      </c>
      <c r="I69" s="9" t="str">
        <f t="shared" ca="1" si="3"/>
        <v>+2 MES</v>
      </c>
    </row>
    <row r="70" spans="1:9">
      <c r="A70" s="9">
        <v>45754</v>
      </c>
      <c r="B70" s="9">
        <v>45784</v>
      </c>
      <c r="C70" s="9" t="str">
        <f t="shared" ca="1" si="2"/>
        <v>CADUCADO</v>
      </c>
      <c r="D70" s="11" t="s">
        <v>91</v>
      </c>
      <c r="E70" s="1" t="s">
        <v>92</v>
      </c>
      <c r="F70" s="2" t="s">
        <v>63</v>
      </c>
      <c r="G70" s="9"/>
      <c r="H70" s="9">
        <v>46119</v>
      </c>
      <c r="I70" s="9" t="str">
        <f t="shared" ca="1" si="3"/>
        <v>+2 MES</v>
      </c>
    </row>
    <row r="71" spans="1:9">
      <c r="A71" s="9"/>
      <c r="B71" s="9"/>
      <c r="C71" s="9" t="str">
        <f t="shared" ca="1" si="2"/>
        <v>CADUCADO</v>
      </c>
      <c r="D71" s="11" t="s">
        <v>93</v>
      </c>
      <c r="E71" s="1" t="s">
        <v>94</v>
      </c>
      <c r="F71" s="2" t="s">
        <v>63</v>
      </c>
      <c r="G71" s="9"/>
      <c r="H71" s="9">
        <v>46119</v>
      </c>
      <c r="I71" s="9" t="str">
        <f t="shared" ca="1" si="3"/>
        <v>+2 MES</v>
      </c>
    </row>
    <row r="72" spans="1:9">
      <c r="A72" s="9"/>
      <c r="B72" s="9"/>
      <c r="C72" s="9" t="str">
        <f t="shared" ca="1" si="2"/>
        <v>CADUCADO</v>
      </c>
      <c r="D72" s="11" t="s">
        <v>25</v>
      </c>
      <c r="E72" s="1" t="s">
        <v>94</v>
      </c>
      <c r="F72" s="2" t="s">
        <v>63</v>
      </c>
      <c r="G72" s="9"/>
      <c r="H72" s="9">
        <v>46119</v>
      </c>
      <c r="I72" s="9" t="str">
        <f t="shared" ca="1" si="3"/>
        <v>+2 MES</v>
      </c>
    </row>
    <row r="73" spans="1:9">
      <c r="A73" s="9">
        <v>45820</v>
      </c>
      <c r="B73" s="9"/>
      <c r="C73" s="9" t="str">
        <f t="shared" ca="1" si="2"/>
        <v>CADUCADO</v>
      </c>
      <c r="D73" s="11" t="s">
        <v>95</v>
      </c>
      <c r="E73" s="1" t="s">
        <v>353</v>
      </c>
      <c r="F73" s="2" t="s">
        <v>63</v>
      </c>
      <c r="G73" s="9">
        <v>45820</v>
      </c>
      <c r="H73" s="9">
        <v>46185</v>
      </c>
      <c r="I73" s="9" t="str">
        <f t="shared" ca="1" si="3"/>
        <v>+2 MES</v>
      </c>
    </row>
    <row r="74" spans="1:9">
      <c r="A74" s="9"/>
      <c r="B74" s="9">
        <v>45785</v>
      </c>
      <c r="C74" s="9" t="str">
        <f t="shared" ca="1" si="2"/>
        <v>CADUCADO</v>
      </c>
      <c r="D74" s="11" t="s">
        <v>96</v>
      </c>
      <c r="E74" s="1" t="s">
        <v>113</v>
      </c>
      <c r="F74" s="2" t="s">
        <v>63</v>
      </c>
      <c r="G74" s="9"/>
      <c r="H74" s="9">
        <v>46126</v>
      </c>
      <c r="I74" s="9" t="str">
        <f t="shared" ca="1" si="3"/>
        <v>+2 MES</v>
      </c>
    </row>
    <row r="75" spans="1:9">
      <c r="A75" s="9"/>
      <c r="B75" s="9">
        <v>45785</v>
      </c>
      <c r="C75" s="9" t="str">
        <f t="shared" ca="1" si="2"/>
        <v>CADUCADO</v>
      </c>
      <c r="D75" s="11" t="s">
        <v>97</v>
      </c>
      <c r="E75" s="1" t="s">
        <v>113</v>
      </c>
      <c r="F75" s="2" t="s">
        <v>63</v>
      </c>
      <c r="G75" s="9"/>
      <c r="H75" s="9">
        <v>46126</v>
      </c>
      <c r="I75" s="9" t="str">
        <f t="shared" ca="1" si="3"/>
        <v>+2 MES</v>
      </c>
    </row>
    <row r="76" spans="1:9">
      <c r="A76" s="9"/>
      <c r="B76" s="9">
        <v>45785</v>
      </c>
      <c r="C76" s="9" t="str">
        <f t="shared" ca="1" si="2"/>
        <v>CADUCADO</v>
      </c>
      <c r="D76" s="11" t="s">
        <v>98</v>
      </c>
      <c r="E76" s="1" t="s">
        <v>113</v>
      </c>
      <c r="F76" s="2" t="s">
        <v>63</v>
      </c>
      <c r="G76" s="9"/>
      <c r="H76" s="9">
        <v>46135</v>
      </c>
      <c r="I76" s="9" t="str">
        <f t="shared" ca="1" si="3"/>
        <v>+2 MES</v>
      </c>
    </row>
    <row r="77" spans="1:9">
      <c r="A77" s="9"/>
      <c r="B77" s="9">
        <v>45774</v>
      </c>
      <c r="C77" s="9" t="str">
        <f t="shared" ca="1" si="2"/>
        <v>CADUCADO</v>
      </c>
      <c r="D77" s="11" t="s">
        <v>81</v>
      </c>
      <c r="E77" s="1" t="s">
        <v>113</v>
      </c>
      <c r="F77" s="2" t="s">
        <v>63</v>
      </c>
      <c r="G77" s="9"/>
      <c r="H77" s="9">
        <v>46126</v>
      </c>
      <c r="I77" s="9" t="str">
        <f t="shared" ca="1" si="3"/>
        <v>+2 MES</v>
      </c>
    </row>
    <row r="78" spans="1:9">
      <c r="A78" s="9">
        <v>45763</v>
      </c>
      <c r="B78" s="9"/>
      <c r="C78" s="9" t="str">
        <f ca="1">IF(B78&lt;TODAY(),"CADUCADO",IF(B78-TODAY()&gt;=60,"+2 MES",IF(AND(B78-TODAY()&lt;60,B78-TODAY()&gt;=30),"+1 MES",IF(AND(B78-TODAY()&lt;30,B78-TODAY()&gt;15),"+15 DÍAS",IF(AND(B78-TODAY()&lt;=15,B78-TODAY()&gt;7),"+7 DÍAS","CRITICAL")))))</f>
        <v>CADUCADO</v>
      </c>
      <c r="D78" s="11" t="s">
        <v>99</v>
      </c>
      <c r="F78" s="2" t="s">
        <v>63</v>
      </c>
      <c r="G78" s="9"/>
      <c r="H78" s="9">
        <v>46126</v>
      </c>
      <c r="I78" s="9" t="str">
        <f t="shared" ca="1" si="3"/>
        <v>+2 MES</v>
      </c>
    </row>
    <row r="79" spans="1:9">
      <c r="A79" s="9">
        <v>45763</v>
      </c>
      <c r="B79" s="9"/>
      <c r="C79" s="9" t="str">
        <f t="shared" ref="C79:C109" ca="1" si="4">IF(B79&lt;TODAY(),"CADUCADO",IF(B79-TODAY()&gt;=60,"+2 MES",IF(AND(B79-TODAY()&lt;60,B79-TODAY()&gt;=30),"+1 MES",IF(AND(B79-TODAY()&lt;30,B79-TODAY()&gt;15),"+15 DÍAS",IF(AND(B79-TODAY()&lt;=15,B79-TODAY()&gt;7),"+7 DÍAS","CRITICAL")))))</f>
        <v>CADUCADO</v>
      </c>
      <c r="D79" s="11" t="s">
        <v>100</v>
      </c>
      <c r="E79" s="1" t="s">
        <v>114</v>
      </c>
      <c r="F79" s="2" t="s">
        <v>63</v>
      </c>
      <c r="G79" s="9"/>
      <c r="H79" s="9">
        <v>46126</v>
      </c>
      <c r="I79" s="9" t="str">
        <f t="shared" ca="1" si="3"/>
        <v>+2 MES</v>
      </c>
    </row>
    <row r="80" spans="1:9">
      <c r="A80" s="9">
        <v>45763</v>
      </c>
      <c r="B80" s="9"/>
      <c r="C80" s="9" t="str">
        <f t="shared" ca="1" si="4"/>
        <v>CADUCADO</v>
      </c>
      <c r="D80" s="11" t="s">
        <v>101</v>
      </c>
      <c r="F80" s="2" t="s">
        <v>63</v>
      </c>
      <c r="G80" s="9"/>
      <c r="H80" s="9">
        <v>46126</v>
      </c>
      <c r="I80" s="9" t="str">
        <f t="shared" ca="1" si="3"/>
        <v>+2 MES</v>
      </c>
    </row>
    <row r="81" spans="1:9">
      <c r="A81" s="9">
        <v>45763</v>
      </c>
      <c r="B81" s="9"/>
      <c r="C81" s="9" t="str">
        <f t="shared" ca="1" si="4"/>
        <v>CADUCADO</v>
      </c>
      <c r="D81" s="11" t="s">
        <v>102</v>
      </c>
      <c r="F81" s="2" t="s">
        <v>63</v>
      </c>
      <c r="G81" s="9"/>
      <c r="H81" s="9">
        <v>46126</v>
      </c>
      <c r="I81" s="9" t="str">
        <f t="shared" ca="1" si="3"/>
        <v>+2 MES</v>
      </c>
    </row>
    <row r="82" spans="1:9">
      <c r="A82" s="9">
        <v>45763</v>
      </c>
      <c r="B82" s="9">
        <v>45790</v>
      </c>
      <c r="C82" s="9" t="str">
        <f t="shared" ca="1" si="4"/>
        <v>CADUCADO</v>
      </c>
      <c r="D82" s="11" t="s">
        <v>103</v>
      </c>
      <c r="E82" s="1" t="s">
        <v>112</v>
      </c>
      <c r="F82" s="2" t="s">
        <v>63</v>
      </c>
      <c r="G82" s="9"/>
      <c r="H82" s="9">
        <v>46128</v>
      </c>
      <c r="I82" s="9" t="str">
        <f t="shared" ca="1" si="3"/>
        <v>+2 MES</v>
      </c>
    </row>
    <row r="83" spans="1:9">
      <c r="A83" s="9">
        <v>45763</v>
      </c>
      <c r="B83" s="9">
        <v>45790</v>
      </c>
      <c r="C83" s="9" t="str">
        <f t="shared" ca="1" si="4"/>
        <v>CADUCADO</v>
      </c>
      <c r="D83" s="11" t="s">
        <v>104</v>
      </c>
      <c r="E83" s="1" t="s">
        <v>112</v>
      </c>
      <c r="F83" s="2" t="s">
        <v>63</v>
      </c>
      <c r="G83" s="9"/>
      <c r="H83" s="9">
        <v>46128</v>
      </c>
      <c r="I83" s="9" t="str">
        <f t="shared" ca="1" si="3"/>
        <v>+2 MES</v>
      </c>
    </row>
    <row r="84" spans="1:9">
      <c r="A84" s="9">
        <v>45763</v>
      </c>
      <c r="B84" s="9">
        <v>45790</v>
      </c>
      <c r="C84" s="9" t="str">
        <f t="shared" ca="1" si="4"/>
        <v>CADUCADO</v>
      </c>
      <c r="D84" s="11" t="s">
        <v>105</v>
      </c>
      <c r="E84" s="1" t="s">
        <v>112</v>
      </c>
      <c r="F84" s="2" t="s">
        <v>63</v>
      </c>
      <c r="G84" s="9"/>
      <c r="H84" s="9">
        <v>46128</v>
      </c>
      <c r="I84" s="9" t="str">
        <f t="shared" ca="1" si="3"/>
        <v>+2 MES</v>
      </c>
    </row>
    <row r="85" spans="1:9">
      <c r="A85" s="9">
        <v>45763</v>
      </c>
      <c r="B85" s="9">
        <v>45790</v>
      </c>
      <c r="C85" s="9" t="str">
        <f t="shared" ca="1" si="4"/>
        <v>CADUCADO</v>
      </c>
      <c r="D85" s="11" t="s">
        <v>106</v>
      </c>
      <c r="E85" s="1" t="s">
        <v>112</v>
      </c>
      <c r="F85" s="2" t="s">
        <v>63</v>
      </c>
      <c r="G85" s="9"/>
      <c r="H85" s="9">
        <v>46128</v>
      </c>
      <c r="I85" s="9" t="str">
        <f t="shared" ca="1" si="3"/>
        <v>+2 MES</v>
      </c>
    </row>
    <row r="86" spans="1:9">
      <c r="A86" s="9">
        <v>45763</v>
      </c>
      <c r="B86" s="9">
        <v>45790</v>
      </c>
      <c r="C86" s="9" t="str">
        <f t="shared" ca="1" si="4"/>
        <v>CADUCADO</v>
      </c>
      <c r="D86" s="11" t="s">
        <v>107</v>
      </c>
      <c r="E86" s="1" t="s">
        <v>112</v>
      </c>
      <c r="F86" s="2" t="s">
        <v>63</v>
      </c>
      <c r="G86" s="9"/>
      <c r="H86" s="9">
        <v>46128</v>
      </c>
      <c r="I86" s="9" t="str">
        <f t="shared" ca="1" si="3"/>
        <v>+2 MES</v>
      </c>
    </row>
    <row r="87" spans="1:9">
      <c r="A87" s="9">
        <v>45763</v>
      </c>
      <c r="B87" s="9">
        <v>45790</v>
      </c>
      <c r="C87" s="9" t="str">
        <f t="shared" ca="1" si="4"/>
        <v>CADUCADO</v>
      </c>
      <c r="D87" s="11" t="s">
        <v>108</v>
      </c>
      <c r="E87" s="1" t="s">
        <v>112</v>
      </c>
      <c r="F87" s="2" t="s">
        <v>63</v>
      </c>
      <c r="G87" s="9"/>
      <c r="H87" s="9">
        <v>46128</v>
      </c>
      <c r="I87" s="9" t="str">
        <f t="shared" ca="1" si="3"/>
        <v>+2 MES</v>
      </c>
    </row>
    <row r="88" spans="1:9">
      <c r="A88" s="9">
        <v>45763</v>
      </c>
      <c r="B88" s="9">
        <v>45788</v>
      </c>
      <c r="C88" s="9" t="str">
        <f t="shared" ca="1" si="4"/>
        <v>CADUCADO</v>
      </c>
      <c r="D88" s="11" t="s">
        <v>109</v>
      </c>
      <c r="E88" s="1" t="s">
        <v>112</v>
      </c>
      <c r="F88" s="2" t="s">
        <v>63</v>
      </c>
      <c r="G88" s="9"/>
      <c r="H88" s="9">
        <v>46128</v>
      </c>
      <c r="I88" s="9" t="str">
        <f t="shared" ca="1" si="3"/>
        <v>+2 MES</v>
      </c>
    </row>
    <row r="89" spans="1:9">
      <c r="A89" s="9">
        <v>45763</v>
      </c>
      <c r="B89" s="9">
        <v>45790</v>
      </c>
      <c r="C89" s="9" t="str">
        <f t="shared" ca="1" si="4"/>
        <v>CADUCADO</v>
      </c>
      <c r="D89" s="11" t="s">
        <v>110</v>
      </c>
      <c r="E89" s="1" t="s">
        <v>112</v>
      </c>
      <c r="F89" s="2" t="s">
        <v>63</v>
      </c>
      <c r="G89" s="9"/>
      <c r="H89" s="9">
        <v>46128</v>
      </c>
      <c r="I89" s="9" t="str">
        <f t="shared" ca="1" si="3"/>
        <v>+2 MES</v>
      </c>
    </row>
    <row r="90" spans="1:9">
      <c r="A90" s="9">
        <v>45763</v>
      </c>
      <c r="B90" s="9">
        <v>45790</v>
      </c>
      <c r="C90" s="9" t="str">
        <f t="shared" ca="1" si="4"/>
        <v>CADUCADO</v>
      </c>
      <c r="D90" s="11" t="s">
        <v>111</v>
      </c>
      <c r="E90" s="1" t="s">
        <v>112</v>
      </c>
      <c r="F90" s="2" t="s">
        <v>63</v>
      </c>
      <c r="G90" s="9"/>
      <c r="H90" s="9">
        <v>46128</v>
      </c>
      <c r="I90" s="9" t="str">
        <f t="shared" ca="1" si="3"/>
        <v>+2 MES</v>
      </c>
    </row>
    <row r="91" spans="1:9">
      <c r="A91" s="9">
        <v>45764</v>
      </c>
      <c r="B91" s="9"/>
      <c r="C91" s="9" t="str">
        <f t="shared" ca="1" si="4"/>
        <v>CADUCADO</v>
      </c>
      <c r="D91" s="11" t="s">
        <v>268</v>
      </c>
      <c r="F91" s="2" t="s">
        <v>63</v>
      </c>
      <c r="G91" s="9"/>
      <c r="H91" s="9">
        <v>46129</v>
      </c>
      <c r="I91" s="9" t="str">
        <f t="shared" ca="1" si="3"/>
        <v>+2 MES</v>
      </c>
    </row>
    <row r="92" spans="1:9">
      <c r="A92" s="9">
        <v>45766</v>
      </c>
      <c r="B92" s="9">
        <v>45793</v>
      </c>
      <c r="C92" s="9" t="str">
        <f t="shared" ca="1" si="4"/>
        <v>CADUCADO</v>
      </c>
      <c r="D92" s="11" t="s">
        <v>269</v>
      </c>
      <c r="E92" s="1" t="s">
        <v>271</v>
      </c>
      <c r="F92" s="2" t="s">
        <v>63</v>
      </c>
      <c r="G92" s="9"/>
      <c r="H92" s="9">
        <v>46135</v>
      </c>
      <c r="I92" s="9" t="str">
        <f t="shared" ca="1" si="3"/>
        <v>+2 MES</v>
      </c>
    </row>
    <row r="93" spans="1:9">
      <c r="A93" s="9">
        <v>45769</v>
      </c>
      <c r="B93" s="9"/>
      <c r="C93" s="9" t="str">
        <f t="shared" ca="1" si="4"/>
        <v>CADUCADO</v>
      </c>
      <c r="D93" s="11" t="s">
        <v>270</v>
      </c>
      <c r="E93" s="1" t="s">
        <v>271</v>
      </c>
      <c r="F93" s="2" t="s">
        <v>63</v>
      </c>
      <c r="G93" s="9"/>
      <c r="H93" s="9">
        <v>46135</v>
      </c>
      <c r="I93" s="9" t="str">
        <f t="shared" ca="1" si="3"/>
        <v>+2 MES</v>
      </c>
    </row>
    <row r="94" spans="1:9">
      <c r="A94" s="9">
        <v>45771</v>
      </c>
      <c r="B94" s="9"/>
      <c r="C94" s="9" t="str">
        <f t="shared" ca="1" si="4"/>
        <v>CADUCADO</v>
      </c>
      <c r="D94" s="11" t="s">
        <v>274</v>
      </c>
      <c r="E94" s="1" t="s">
        <v>276</v>
      </c>
      <c r="F94" s="2" t="s">
        <v>63</v>
      </c>
      <c r="G94" s="9"/>
      <c r="H94" s="9">
        <v>46136</v>
      </c>
      <c r="I94" s="9" t="str">
        <f t="shared" ca="1" si="3"/>
        <v>+2 MES</v>
      </c>
    </row>
    <row r="95" spans="1:9">
      <c r="A95" s="9">
        <v>45771</v>
      </c>
      <c r="B95" s="9"/>
      <c r="C95" s="9" t="str">
        <f t="shared" ca="1" si="4"/>
        <v>CADUCADO</v>
      </c>
      <c r="D95" s="11" t="s">
        <v>275</v>
      </c>
      <c r="E95" s="1" t="s">
        <v>276</v>
      </c>
      <c r="F95" s="2" t="s">
        <v>63</v>
      </c>
      <c r="G95" s="9"/>
      <c r="H95" s="9">
        <v>46136</v>
      </c>
      <c r="I95" s="9" t="str">
        <f t="shared" ca="1" si="3"/>
        <v>+2 MES</v>
      </c>
    </row>
    <row r="96" spans="1:9">
      <c r="A96" s="9">
        <v>46137</v>
      </c>
      <c r="B96" s="9">
        <v>45794</v>
      </c>
      <c r="C96" s="9" t="str">
        <f t="shared" ca="1" si="4"/>
        <v>CADUCADO</v>
      </c>
      <c r="D96" s="11" t="s">
        <v>282</v>
      </c>
      <c r="E96" s="1" t="s">
        <v>284</v>
      </c>
      <c r="F96" s="2" t="s">
        <v>63</v>
      </c>
      <c r="G96" s="9"/>
      <c r="H96" s="9">
        <v>46140</v>
      </c>
      <c r="I96" s="9" t="str">
        <f t="shared" ca="1" si="3"/>
        <v>+2 MES</v>
      </c>
    </row>
    <row r="97" spans="1:9">
      <c r="A97" s="9">
        <v>46137</v>
      </c>
      <c r="B97" s="9">
        <v>45794</v>
      </c>
      <c r="C97" s="9" t="str">
        <f t="shared" ca="1" si="4"/>
        <v>CADUCADO</v>
      </c>
      <c r="D97" s="11" t="s">
        <v>283</v>
      </c>
      <c r="E97" s="1" t="s">
        <v>284</v>
      </c>
      <c r="F97" s="2" t="s">
        <v>63</v>
      </c>
      <c r="G97" s="9"/>
      <c r="H97" s="9">
        <v>46140</v>
      </c>
      <c r="I97" s="9" t="str">
        <f t="shared" ca="1" si="3"/>
        <v>+2 MES</v>
      </c>
    </row>
    <row r="98" spans="1:9">
      <c r="A98" s="9">
        <v>45775</v>
      </c>
      <c r="B98" s="9">
        <v>45802</v>
      </c>
      <c r="C98" s="9" t="str">
        <f t="shared" ca="1" si="4"/>
        <v>CADUCADO</v>
      </c>
      <c r="D98" s="11" t="s">
        <v>285</v>
      </c>
      <c r="E98" s="1" t="s">
        <v>286</v>
      </c>
      <c r="F98" s="2" t="s">
        <v>63</v>
      </c>
      <c r="G98" s="9"/>
      <c r="H98" s="9">
        <v>46141</v>
      </c>
      <c r="I98" s="9" t="str">
        <f t="shared" ca="1" si="3"/>
        <v>+2 MES</v>
      </c>
    </row>
    <row r="99" spans="1:9">
      <c r="A99" s="9">
        <v>45779</v>
      </c>
      <c r="B99" s="9" t="s">
        <v>48</v>
      </c>
      <c r="C99" s="9" t="e">
        <f t="shared" ca="1" si="4"/>
        <v>#VALUE!</v>
      </c>
      <c r="D99" s="11" t="s">
        <v>287</v>
      </c>
      <c r="E99" s="1" t="s">
        <v>291</v>
      </c>
      <c r="F99" s="2" t="s">
        <v>63</v>
      </c>
      <c r="G99" s="9"/>
      <c r="H99" s="9">
        <v>46144</v>
      </c>
      <c r="I99" s="9" t="str">
        <f t="shared" ca="1" si="3"/>
        <v>+2 MES</v>
      </c>
    </row>
    <row r="100" spans="1:9">
      <c r="A100" s="9">
        <v>45779</v>
      </c>
      <c r="B100" s="9" t="s">
        <v>48</v>
      </c>
      <c r="C100" s="9" t="e">
        <f t="shared" ca="1" si="4"/>
        <v>#VALUE!</v>
      </c>
      <c r="D100" s="11" t="s">
        <v>288</v>
      </c>
      <c r="E100" s="1" t="s">
        <v>291</v>
      </c>
      <c r="F100" s="2" t="s">
        <v>63</v>
      </c>
      <c r="G100" s="9"/>
      <c r="H100" s="9">
        <v>46144</v>
      </c>
      <c r="I100" s="9" t="str">
        <f t="shared" ca="1" si="3"/>
        <v>+2 MES</v>
      </c>
    </row>
    <row r="101" spans="1:9">
      <c r="A101" s="9">
        <v>45783</v>
      </c>
      <c r="B101" s="9">
        <v>45805</v>
      </c>
      <c r="C101" s="9" t="str">
        <f t="shared" ca="1" si="4"/>
        <v>CADUCADO</v>
      </c>
      <c r="D101" s="11" t="s">
        <v>292</v>
      </c>
      <c r="E101" s="1" t="s">
        <v>294</v>
      </c>
      <c r="F101" s="2" t="s">
        <v>63</v>
      </c>
      <c r="G101" s="9"/>
      <c r="H101" s="9">
        <v>46150</v>
      </c>
      <c r="I101" s="9" t="str">
        <f t="shared" ca="1" si="3"/>
        <v>+2 MES</v>
      </c>
    </row>
    <row r="102" spans="1:9">
      <c r="A102" s="9">
        <v>45784</v>
      </c>
      <c r="B102" s="9">
        <v>45805</v>
      </c>
      <c r="C102" s="9" t="str">
        <f t="shared" ca="1" si="4"/>
        <v>CADUCADO</v>
      </c>
      <c r="D102" s="11" t="s">
        <v>293</v>
      </c>
      <c r="E102" s="1" t="s">
        <v>294</v>
      </c>
      <c r="F102" s="2" t="s">
        <v>63</v>
      </c>
      <c r="G102" s="9"/>
      <c r="H102" s="9">
        <v>46151</v>
      </c>
      <c r="I102" s="9" t="str">
        <f t="shared" ca="1" si="3"/>
        <v>+2 MES</v>
      </c>
    </row>
    <row r="103" spans="1:9">
      <c r="A103" s="9">
        <v>45785</v>
      </c>
      <c r="B103" s="9"/>
      <c r="C103" s="9" t="str">
        <f t="shared" ca="1" si="4"/>
        <v>CADUCADO</v>
      </c>
      <c r="D103" s="11" t="s">
        <v>296</v>
      </c>
      <c r="E103" s="1" t="s">
        <v>295</v>
      </c>
      <c r="F103" s="2" t="s">
        <v>63</v>
      </c>
      <c r="G103" s="9"/>
      <c r="H103" s="9">
        <v>46151</v>
      </c>
      <c r="I103" s="9" t="str">
        <f t="shared" ca="1" si="3"/>
        <v>+2 MES</v>
      </c>
    </row>
    <row r="104" spans="1:9">
      <c r="A104" s="9"/>
      <c r="B104" s="9">
        <v>45926</v>
      </c>
      <c r="C104" s="9" t="str">
        <f t="shared" ca="1" si="4"/>
        <v>CADUCADO</v>
      </c>
      <c r="D104" s="11" t="s">
        <v>297</v>
      </c>
      <c r="F104" s="2" t="s">
        <v>63</v>
      </c>
      <c r="G104" s="9">
        <v>45901</v>
      </c>
      <c r="H104" s="9">
        <v>46266</v>
      </c>
      <c r="I104" s="9" t="str">
        <f t="shared" ca="1" si="3"/>
        <v>+2 MES</v>
      </c>
    </row>
    <row r="105" spans="1:9">
      <c r="A105" s="9"/>
      <c r="B105" s="9">
        <v>45926</v>
      </c>
      <c r="C105" s="9" t="str">
        <f t="shared" ca="1" si="4"/>
        <v>CADUCADO</v>
      </c>
      <c r="D105" s="11" t="s">
        <v>298</v>
      </c>
      <c r="F105" s="2" t="s">
        <v>63</v>
      </c>
      <c r="G105" s="9">
        <v>45901</v>
      </c>
      <c r="H105" s="9">
        <v>46266</v>
      </c>
      <c r="I105" s="9" t="str">
        <f t="shared" ca="1" si="3"/>
        <v>+2 MES</v>
      </c>
    </row>
    <row r="106" spans="1:9">
      <c r="A106" s="9"/>
      <c r="B106" s="9">
        <v>45926</v>
      </c>
      <c r="C106" s="9" t="str">
        <f t="shared" ca="1" si="4"/>
        <v>CADUCADO</v>
      </c>
      <c r="D106" s="11" t="s">
        <v>299</v>
      </c>
      <c r="F106" s="2" t="s">
        <v>63</v>
      </c>
      <c r="G106" s="9">
        <v>45901</v>
      </c>
      <c r="H106" s="9">
        <v>46266</v>
      </c>
      <c r="I106" s="9" t="str">
        <f t="shared" ca="1" si="3"/>
        <v>+2 MES</v>
      </c>
    </row>
    <row r="107" spans="1:9">
      <c r="A107" s="9"/>
      <c r="B107" s="9">
        <v>45926</v>
      </c>
      <c r="C107" s="9" t="str">
        <f t="shared" ca="1" si="4"/>
        <v>CADUCADO</v>
      </c>
      <c r="D107" s="11" t="s">
        <v>300</v>
      </c>
      <c r="F107" s="2" t="s">
        <v>63</v>
      </c>
      <c r="G107" s="9">
        <v>45901</v>
      </c>
      <c r="H107" s="9">
        <v>46266</v>
      </c>
      <c r="I107" s="9" t="str">
        <f t="shared" ca="1" si="3"/>
        <v>+2 MES</v>
      </c>
    </row>
    <row r="108" spans="1:9">
      <c r="A108" s="9">
        <v>45785</v>
      </c>
      <c r="B108" s="9">
        <v>45805</v>
      </c>
      <c r="C108" s="9" t="str">
        <f t="shared" ca="1" si="4"/>
        <v>CADUCADO</v>
      </c>
      <c r="D108" s="11" t="s">
        <v>302</v>
      </c>
      <c r="F108" s="2" t="s">
        <v>63</v>
      </c>
      <c r="G108" s="9"/>
      <c r="H108" s="9">
        <v>46152</v>
      </c>
      <c r="I108" s="9" t="str">
        <f t="shared" ca="1" si="3"/>
        <v>+2 MES</v>
      </c>
    </row>
    <row r="109" spans="1:9">
      <c r="A109" s="9"/>
      <c r="B109" s="9">
        <v>45811</v>
      </c>
      <c r="C109" s="9" t="str">
        <f t="shared" ca="1" si="4"/>
        <v>CADUCADO</v>
      </c>
      <c r="D109" s="11" t="s">
        <v>307</v>
      </c>
      <c r="F109" s="2" t="s">
        <v>63</v>
      </c>
      <c r="G109" s="9"/>
      <c r="H109" s="9">
        <v>46155</v>
      </c>
      <c r="I109" s="9" t="str">
        <f t="shared" ca="1" si="3"/>
        <v>+2 MES</v>
      </c>
    </row>
    <row r="110" spans="1:9">
      <c r="A110" s="9"/>
      <c r="B110" s="9"/>
      <c r="C110" s="9"/>
      <c r="D110" s="11" t="s">
        <v>315</v>
      </c>
      <c r="F110" s="2" t="s">
        <v>63</v>
      </c>
      <c r="G110" s="9"/>
      <c r="H110" s="9">
        <v>46158</v>
      </c>
      <c r="I110" s="9" t="str">
        <f t="shared" ca="1" si="3"/>
        <v>+2 MES</v>
      </c>
    </row>
    <row r="111" spans="1:9">
      <c r="A111" s="9"/>
      <c r="B111" s="9"/>
      <c r="C111" s="9"/>
      <c r="D111" s="11" t="s">
        <v>192</v>
      </c>
      <c r="F111" s="2" t="s">
        <v>63</v>
      </c>
      <c r="G111" s="9"/>
      <c r="H111" s="9">
        <v>46158</v>
      </c>
      <c r="I111" s="9" t="str">
        <f t="shared" ca="1" si="3"/>
        <v>+2 MES</v>
      </c>
    </row>
    <row r="112" spans="1:9">
      <c r="A112" s="9"/>
      <c r="B112" s="9"/>
      <c r="C112" s="9"/>
      <c r="D112" s="11" t="s">
        <v>316</v>
      </c>
      <c r="F112" s="2" t="s">
        <v>63</v>
      </c>
      <c r="G112" s="9"/>
      <c r="H112" s="9">
        <v>46158</v>
      </c>
      <c r="I112" s="9" t="str">
        <f t="shared" ca="1" si="3"/>
        <v>+2 MES</v>
      </c>
    </row>
    <row r="113" spans="1:9">
      <c r="A113" s="9">
        <v>45796</v>
      </c>
      <c r="B113" s="9">
        <v>45806</v>
      </c>
      <c r="C113" s="9" t="str">
        <f ca="1">IF(B113&lt;TODAY(),"CADUCADO",IF(B113-TODAY()&gt;=60,"+2 MES",IF(AND(B113-TODAY()&lt;60,B113-TODAY()&gt;=30),"+1 MES",IF(AND(B113-TODAY()&lt;30,B113-TODAY()&gt;15),"+15 DÍAS",IF(AND(B113-TODAY()&lt;=15,B113-TODAY()&gt;7),"+7 DÍAS","CRITICAL")))))</f>
        <v>CADUCADO</v>
      </c>
      <c r="D113" s="11" t="s">
        <v>319</v>
      </c>
      <c r="E113" s="1" t="s">
        <v>321</v>
      </c>
      <c r="F113" s="2" t="s">
        <v>63</v>
      </c>
      <c r="G113" s="9">
        <v>45796</v>
      </c>
      <c r="H113" s="9">
        <v>46161</v>
      </c>
      <c r="I113" s="9" t="str">
        <f t="shared" ca="1" si="3"/>
        <v>+2 MES</v>
      </c>
    </row>
    <row r="114" spans="1:9">
      <c r="A114" s="9">
        <v>45796</v>
      </c>
      <c r="B114" s="9">
        <v>45806</v>
      </c>
      <c r="C114" s="9" t="str">
        <f ca="1">IF(B114&lt;TODAY(),"CADUCADO",IF(B114-TODAY()&gt;=60,"+2 MES",IF(AND(B114-TODAY()&lt;60,B114-TODAY()&gt;=30),"+1 MES",IF(AND(B114-TODAY()&lt;30,B114-TODAY()&gt;15),"+15 DÍAS",IF(AND(B114-TODAY()&lt;=15,B114-TODAY()&gt;7),"+7 DÍAS","CRITICAL")))))</f>
        <v>CADUCADO</v>
      </c>
      <c r="D114" s="11" t="s">
        <v>320</v>
      </c>
      <c r="E114" s="1" t="s">
        <v>321</v>
      </c>
      <c r="F114" s="2" t="s">
        <v>63</v>
      </c>
      <c r="G114" s="9">
        <v>45796</v>
      </c>
      <c r="H114" s="9">
        <v>46161</v>
      </c>
      <c r="I114" s="9" t="str">
        <f t="shared" ref="I114:I123" ca="1" si="5">IF(H114&lt;TODAY(),"CADUCADO",IF(H114-TODAY()&gt;=60,"+2 MES",IF(AND(H114-TODAY()&lt;60,H114-TODAY()&gt;=30),"+1 MES",IF(AND(H114-TODAY()&lt;30,H114-TODAY()&gt;15),"+15 DÍAS",IF(AND(H114-TODAY()&lt;=15,H114-TODAY()&gt;7),"+7 DÍAS","CRITICAL")))))</f>
        <v>+2 MES</v>
      </c>
    </row>
    <row r="115" spans="1:9">
      <c r="A115" s="9">
        <v>45796</v>
      </c>
      <c r="B115" s="9">
        <v>45806</v>
      </c>
      <c r="C115" s="9" t="str">
        <f t="shared" ref="C115:C178" ca="1" si="6">IF(B115&lt;TODAY(),"CADUCADO",IF(B115-TODAY()&gt;=60,"+2 MES",IF(AND(B115-TODAY()&lt;60,B115-TODAY()&gt;=30),"+1 MES",IF(AND(B115-TODAY()&lt;30,B115-TODAY()&gt;15),"+15 DÍAS",IF(AND(B115-TODAY()&lt;=15,B115-TODAY()&gt;7),"+7 DÍAS","CRITICAL")))))</f>
        <v>CADUCADO</v>
      </c>
      <c r="D115" s="11" t="s">
        <v>322</v>
      </c>
      <c r="E115" s="1" t="s">
        <v>323</v>
      </c>
      <c r="F115" s="2" t="s">
        <v>63</v>
      </c>
      <c r="G115" s="9">
        <v>45796</v>
      </c>
      <c r="H115" s="9">
        <v>46161</v>
      </c>
      <c r="I115" s="9" t="str">
        <f t="shared" ca="1" si="5"/>
        <v>+2 MES</v>
      </c>
    </row>
    <row r="116" spans="1:9">
      <c r="A116" s="9">
        <v>45796</v>
      </c>
      <c r="B116" s="9">
        <v>45855</v>
      </c>
      <c r="C116" s="9" t="str">
        <f t="shared" ca="1" si="6"/>
        <v>CADUCADO</v>
      </c>
      <c r="D116" s="11" t="s">
        <v>328</v>
      </c>
      <c r="E116" s="1" t="s">
        <v>327</v>
      </c>
      <c r="F116" s="2" t="s">
        <v>63</v>
      </c>
      <c r="G116" s="9">
        <v>45826</v>
      </c>
      <c r="H116" s="9">
        <v>46191</v>
      </c>
      <c r="I116" s="9" t="str">
        <f t="shared" ca="1" si="5"/>
        <v>+2 MES</v>
      </c>
    </row>
    <row r="117" spans="1:9">
      <c r="A117" s="9">
        <v>45797</v>
      </c>
      <c r="B117" s="9">
        <v>45826</v>
      </c>
      <c r="C117" s="9" t="str">
        <f t="shared" ca="1" si="6"/>
        <v>CADUCADO</v>
      </c>
      <c r="D117" s="11" t="s">
        <v>326</v>
      </c>
      <c r="E117" s="1" t="s">
        <v>329</v>
      </c>
      <c r="F117" s="2" t="s">
        <v>63</v>
      </c>
      <c r="G117" s="9">
        <v>45804</v>
      </c>
      <c r="H117" s="9">
        <v>46169</v>
      </c>
      <c r="I117" s="9" t="str">
        <f t="shared" ca="1" si="5"/>
        <v>+2 MES</v>
      </c>
    </row>
    <row r="118" spans="1:9">
      <c r="A118" s="9"/>
      <c r="B118" s="9"/>
      <c r="C118" s="9"/>
      <c r="D118" s="11" t="s">
        <v>330</v>
      </c>
      <c r="F118" s="2" t="s">
        <v>63</v>
      </c>
      <c r="G118" s="9">
        <v>45804</v>
      </c>
      <c r="H118" s="9">
        <v>46169</v>
      </c>
      <c r="I118" s="9" t="str">
        <f t="shared" ca="1" si="5"/>
        <v>+2 MES</v>
      </c>
    </row>
    <row r="119" spans="1:9">
      <c r="A119" s="9"/>
      <c r="B119" s="9"/>
      <c r="C119" s="9"/>
      <c r="D119" s="11" t="s">
        <v>331</v>
      </c>
      <c r="F119" s="2" t="s">
        <v>63</v>
      </c>
      <c r="G119" s="9">
        <v>45805</v>
      </c>
      <c r="H119" s="9">
        <v>46170</v>
      </c>
      <c r="I119" s="9" t="str">
        <f t="shared" ca="1" si="5"/>
        <v>+2 MES</v>
      </c>
    </row>
    <row r="120" spans="1:9">
      <c r="A120" s="9"/>
      <c r="B120" s="9"/>
      <c r="C120" s="9"/>
      <c r="D120" s="11" t="s">
        <v>332</v>
      </c>
      <c r="F120" s="2" t="s">
        <v>63</v>
      </c>
      <c r="G120" s="9">
        <v>45805</v>
      </c>
      <c r="H120" s="9">
        <v>46144</v>
      </c>
      <c r="I120" s="9" t="str">
        <f t="shared" ca="1" si="5"/>
        <v>+2 MES</v>
      </c>
    </row>
    <row r="121" spans="1:9">
      <c r="A121" s="9"/>
      <c r="B121" s="9"/>
      <c r="C121" s="9"/>
      <c r="D121" s="11" t="s">
        <v>333</v>
      </c>
      <c r="E121" s="1" t="s">
        <v>334</v>
      </c>
      <c r="F121" s="2" t="s">
        <v>63</v>
      </c>
      <c r="G121" s="9">
        <v>45806</v>
      </c>
      <c r="H121" s="9">
        <v>46171</v>
      </c>
      <c r="I121" s="9" t="str">
        <f t="shared" ca="1" si="5"/>
        <v>+2 MES</v>
      </c>
    </row>
    <row r="122" spans="1:9">
      <c r="A122" s="9">
        <v>45811</v>
      </c>
      <c r="B122" s="9">
        <v>45837</v>
      </c>
      <c r="C122" s="9" t="str">
        <f t="shared" ca="1" si="6"/>
        <v>CADUCADO</v>
      </c>
      <c r="D122" s="11" t="s">
        <v>335</v>
      </c>
      <c r="E122" s="1" t="s">
        <v>336</v>
      </c>
      <c r="F122" s="2" t="s">
        <v>63</v>
      </c>
      <c r="G122" s="9">
        <v>45811</v>
      </c>
      <c r="H122" s="9">
        <v>46176</v>
      </c>
      <c r="I122" s="9" t="str">
        <f t="shared" ca="1" si="5"/>
        <v>+2 MES</v>
      </c>
    </row>
    <row r="123" spans="1:9">
      <c r="A123" s="9">
        <v>45782</v>
      </c>
      <c r="B123" s="9"/>
      <c r="C123" s="9"/>
      <c r="D123" s="11" t="s">
        <v>337</v>
      </c>
      <c r="F123" s="2" t="s">
        <v>63</v>
      </c>
      <c r="G123" s="9">
        <v>45782</v>
      </c>
      <c r="H123" s="9">
        <v>46147</v>
      </c>
      <c r="I123" s="9" t="str">
        <f t="shared" ca="1" si="5"/>
        <v>+2 MES</v>
      </c>
    </row>
    <row r="124" spans="1:9">
      <c r="A124" s="9">
        <v>45814</v>
      </c>
      <c r="B124" s="9">
        <v>45844</v>
      </c>
      <c r="C124" s="9" t="str">
        <f t="shared" ca="1" si="6"/>
        <v>CADUCADO</v>
      </c>
      <c r="D124" s="11" t="s">
        <v>351</v>
      </c>
      <c r="E124" s="1" t="s">
        <v>352</v>
      </c>
      <c r="F124" s="2" t="s">
        <v>63</v>
      </c>
      <c r="G124" s="9">
        <v>45818</v>
      </c>
      <c r="H124" s="9">
        <v>46183</v>
      </c>
      <c r="I124" s="9" t="str">
        <f ca="1">IF(H124&lt;TODAY(),"CADUCADO",IF(H124-TODAY()&gt;=60,"+2 MES",IF(AND(H124-TODAY()&lt;60,H124-TODAY()&gt;=30),"+1 MES",IF(AND(H124-TODAY()&lt;30,H124-TODAY()&gt;15),"+15 DÍAS",IF(AND(H124-TODAY()&lt;=15,H124-TODAY()&gt;7),"+7 DÍAS","CRITICAL")))))</f>
        <v>+2 MES</v>
      </c>
    </row>
    <row r="125" spans="1:9">
      <c r="A125" s="9">
        <v>45820</v>
      </c>
      <c r="B125" s="9"/>
      <c r="C125" s="9" t="str">
        <f t="shared" ca="1" si="6"/>
        <v>CADUCADO</v>
      </c>
      <c r="D125" s="11" t="s">
        <v>354</v>
      </c>
      <c r="E125" s="1" t="s">
        <v>353</v>
      </c>
      <c r="F125" s="2" t="s">
        <v>63</v>
      </c>
      <c r="G125" s="9">
        <v>45820</v>
      </c>
      <c r="H125" s="9">
        <v>46185</v>
      </c>
      <c r="I125" s="9" t="str">
        <f t="shared" ref="I125:I167" ca="1" si="7">IF(H125&lt;TODAY(),"CADUCADO",IF(H125-TODAY()&gt;=60,"+2 MES",IF(AND(H125-TODAY()&lt;60,H125-TODAY()&gt;=30),"+1 MES",IF(AND(H125-TODAY()&lt;30,H125-TODAY()&gt;15),"+15 DÍAS",IF(AND(H125-TODAY()&lt;=15,H125-TODAY()&gt;7),"+7 DÍAS","CRITICAL")))))</f>
        <v>+2 MES</v>
      </c>
    </row>
    <row r="126" spans="1:9">
      <c r="A126" s="9">
        <v>45820</v>
      </c>
      <c r="B126" s="9">
        <v>45823</v>
      </c>
      <c r="C126" s="9" t="str">
        <f t="shared" ca="1" si="6"/>
        <v>CADUCADO</v>
      </c>
      <c r="D126" s="11" t="s">
        <v>355</v>
      </c>
      <c r="E126" s="1" t="s">
        <v>395</v>
      </c>
      <c r="F126" s="2" t="s">
        <v>63</v>
      </c>
      <c r="G126" s="9">
        <v>45820</v>
      </c>
      <c r="H126" s="9">
        <v>46185</v>
      </c>
      <c r="I126" s="9" t="str">
        <f t="shared" ca="1" si="7"/>
        <v>+2 MES</v>
      </c>
    </row>
    <row r="127" spans="1:9">
      <c r="A127" s="9"/>
      <c r="B127" s="9">
        <v>45823</v>
      </c>
      <c r="C127" s="9" t="str">
        <f t="shared" ca="1" si="6"/>
        <v>CADUCADO</v>
      </c>
      <c r="D127" s="11" t="s">
        <v>356</v>
      </c>
      <c r="E127" s="1" t="s">
        <v>395</v>
      </c>
      <c r="F127" s="2" t="s">
        <v>63</v>
      </c>
      <c r="G127" s="9">
        <v>45820</v>
      </c>
      <c r="H127" s="9">
        <v>46185</v>
      </c>
      <c r="I127" s="9" t="str">
        <f t="shared" ca="1" si="7"/>
        <v>+2 MES</v>
      </c>
    </row>
    <row r="128" spans="1:9">
      <c r="A128" s="9"/>
      <c r="B128" s="9">
        <v>45823</v>
      </c>
      <c r="C128" s="9" t="str">
        <f t="shared" ca="1" si="6"/>
        <v>CADUCADO</v>
      </c>
      <c r="D128" s="11" t="s">
        <v>357</v>
      </c>
      <c r="E128" s="1" t="s">
        <v>395</v>
      </c>
      <c r="F128" s="2" t="s">
        <v>63</v>
      </c>
      <c r="G128" s="9">
        <v>45820</v>
      </c>
      <c r="H128" s="9">
        <v>46185</v>
      </c>
      <c r="I128" s="9" t="str">
        <f t="shared" ca="1" si="7"/>
        <v>+2 MES</v>
      </c>
    </row>
    <row r="129" spans="1:9">
      <c r="A129" s="9"/>
      <c r="B129" s="9">
        <v>45823</v>
      </c>
      <c r="C129" s="9" t="str">
        <f t="shared" ca="1" si="6"/>
        <v>CADUCADO</v>
      </c>
      <c r="D129" s="11" t="s">
        <v>358</v>
      </c>
      <c r="E129" s="1" t="s">
        <v>395</v>
      </c>
      <c r="F129" s="2" t="s">
        <v>63</v>
      </c>
      <c r="G129" s="9">
        <v>45820</v>
      </c>
      <c r="H129" s="9">
        <v>46185</v>
      </c>
      <c r="I129" s="9" t="str">
        <f t="shared" ca="1" si="7"/>
        <v>+2 MES</v>
      </c>
    </row>
    <row r="130" spans="1:9">
      <c r="A130" s="9"/>
      <c r="B130" s="9">
        <v>45823</v>
      </c>
      <c r="C130" s="9" t="str">
        <f t="shared" ca="1" si="6"/>
        <v>CADUCADO</v>
      </c>
      <c r="D130" s="11" t="s">
        <v>359</v>
      </c>
      <c r="E130" s="1" t="s">
        <v>395</v>
      </c>
      <c r="F130" s="2" t="s">
        <v>63</v>
      </c>
      <c r="G130" s="9">
        <v>45820</v>
      </c>
      <c r="H130" s="9">
        <v>46185</v>
      </c>
      <c r="I130" s="9" t="str">
        <f t="shared" ca="1" si="7"/>
        <v>+2 MES</v>
      </c>
    </row>
    <row r="131" spans="1:9">
      <c r="A131" s="9"/>
      <c r="B131" s="9">
        <v>45823</v>
      </c>
      <c r="C131" s="9" t="str">
        <f t="shared" ca="1" si="6"/>
        <v>CADUCADO</v>
      </c>
      <c r="D131" s="11" t="s">
        <v>360</v>
      </c>
      <c r="E131" s="1" t="s">
        <v>395</v>
      </c>
      <c r="F131" s="2" t="s">
        <v>63</v>
      </c>
      <c r="G131" s="9">
        <v>45820</v>
      </c>
      <c r="H131" s="9">
        <v>46185</v>
      </c>
      <c r="I131" s="9" t="str">
        <f t="shared" ca="1" si="7"/>
        <v>+2 MES</v>
      </c>
    </row>
    <row r="132" spans="1:9">
      <c r="A132" s="9"/>
      <c r="B132" s="9">
        <v>45823</v>
      </c>
      <c r="C132" s="9" t="str">
        <f t="shared" ca="1" si="6"/>
        <v>CADUCADO</v>
      </c>
      <c r="D132" s="11" t="s">
        <v>361</v>
      </c>
      <c r="E132" s="1" t="s">
        <v>395</v>
      </c>
      <c r="F132" s="2" t="s">
        <v>63</v>
      </c>
      <c r="G132" s="9">
        <v>45820</v>
      </c>
      <c r="H132" s="9">
        <v>46185</v>
      </c>
      <c r="I132" s="9" t="str">
        <f t="shared" ca="1" si="7"/>
        <v>+2 MES</v>
      </c>
    </row>
    <row r="133" spans="1:9">
      <c r="A133" s="9"/>
      <c r="B133" s="9">
        <v>45823</v>
      </c>
      <c r="C133" s="9" t="str">
        <f t="shared" ca="1" si="6"/>
        <v>CADUCADO</v>
      </c>
      <c r="D133" s="11" t="s">
        <v>362</v>
      </c>
      <c r="E133" s="1" t="s">
        <v>395</v>
      </c>
      <c r="F133" s="2" t="s">
        <v>63</v>
      </c>
      <c r="G133" s="9">
        <v>45820</v>
      </c>
      <c r="H133" s="9">
        <v>46185</v>
      </c>
      <c r="I133" s="9" t="str">
        <f t="shared" ca="1" si="7"/>
        <v>+2 MES</v>
      </c>
    </row>
    <row r="134" spans="1:9">
      <c r="A134" s="9"/>
      <c r="B134" s="9">
        <v>45823</v>
      </c>
      <c r="C134" s="9" t="str">
        <f t="shared" ca="1" si="6"/>
        <v>CADUCADO</v>
      </c>
      <c r="D134" s="11" t="s">
        <v>363</v>
      </c>
      <c r="E134" s="1" t="s">
        <v>395</v>
      </c>
      <c r="F134" s="2" t="s">
        <v>63</v>
      </c>
      <c r="G134" s="9">
        <v>45820</v>
      </c>
      <c r="H134" s="9">
        <v>46185</v>
      </c>
      <c r="I134" s="9" t="str">
        <f t="shared" ca="1" si="7"/>
        <v>+2 MES</v>
      </c>
    </row>
    <row r="135" spans="1:9">
      <c r="A135" s="9"/>
      <c r="B135" s="9">
        <v>45823</v>
      </c>
      <c r="C135" s="9" t="str">
        <f t="shared" ca="1" si="6"/>
        <v>CADUCADO</v>
      </c>
      <c r="D135" s="11" t="s">
        <v>364</v>
      </c>
      <c r="E135" s="1" t="s">
        <v>395</v>
      </c>
      <c r="F135" s="2" t="s">
        <v>63</v>
      </c>
      <c r="G135" s="9">
        <v>45820</v>
      </c>
      <c r="H135" s="9">
        <v>46185</v>
      </c>
      <c r="I135" s="9" t="str">
        <f t="shared" ca="1" si="7"/>
        <v>+2 MES</v>
      </c>
    </row>
    <row r="136" spans="1:9">
      <c r="A136" s="9"/>
      <c r="B136" s="9">
        <v>45823</v>
      </c>
      <c r="C136" s="9" t="str">
        <f t="shared" ca="1" si="6"/>
        <v>CADUCADO</v>
      </c>
      <c r="D136" s="11" t="s">
        <v>365</v>
      </c>
      <c r="E136" s="1" t="s">
        <v>395</v>
      </c>
      <c r="F136" s="2" t="s">
        <v>63</v>
      </c>
      <c r="G136" s="9">
        <v>45820</v>
      </c>
      <c r="H136" s="9">
        <v>46185</v>
      </c>
      <c r="I136" s="9" t="str">
        <f t="shared" ca="1" si="7"/>
        <v>+2 MES</v>
      </c>
    </row>
    <row r="137" spans="1:9">
      <c r="A137" s="9"/>
      <c r="B137" s="9">
        <v>45823</v>
      </c>
      <c r="C137" s="9" t="str">
        <f t="shared" ca="1" si="6"/>
        <v>CADUCADO</v>
      </c>
      <c r="D137" s="11" t="s">
        <v>366</v>
      </c>
      <c r="E137" s="1" t="s">
        <v>395</v>
      </c>
      <c r="F137" s="2" t="s">
        <v>63</v>
      </c>
      <c r="G137" s="9">
        <v>45820</v>
      </c>
      <c r="H137" s="9">
        <v>46185</v>
      </c>
      <c r="I137" s="9" t="str">
        <f t="shared" ca="1" si="7"/>
        <v>+2 MES</v>
      </c>
    </row>
    <row r="138" spans="1:9">
      <c r="A138" s="9"/>
      <c r="B138" s="9">
        <v>45823</v>
      </c>
      <c r="C138" s="9" t="str">
        <f t="shared" ca="1" si="6"/>
        <v>CADUCADO</v>
      </c>
      <c r="D138" s="11" t="s">
        <v>367</v>
      </c>
      <c r="E138" s="1" t="s">
        <v>395</v>
      </c>
      <c r="F138" s="2" t="s">
        <v>63</v>
      </c>
      <c r="G138" s="9">
        <v>45820</v>
      </c>
      <c r="H138" s="9">
        <v>46185</v>
      </c>
      <c r="I138" s="9" t="str">
        <f t="shared" ca="1" si="7"/>
        <v>+2 MES</v>
      </c>
    </row>
    <row r="139" spans="1:9">
      <c r="A139" s="9"/>
      <c r="B139" s="9">
        <v>45823</v>
      </c>
      <c r="C139" s="9" t="str">
        <f t="shared" ca="1" si="6"/>
        <v>CADUCADO</v>
      </c>
      <c r="D139" s="11" t="s">
        <v>368</v>
      </c>
      <c r="E139" s="1" t="s">
        <v>395</v>
      </c>
      <c r="F139" s="2" t="s">
        <v>63</v>
      </c>
      <c r="G139" s="9">
        <v>45820</v>
      </c>
      <c r="H139" s="9">
        <v>46185</v>
      </c>
      <c r="I139" s="9" t="str">
        <f t="shared" ca="1" si="7"/>
        <v>+2 MES</v>
      </c>
    </row>
    <row r="140" spans="1:9">
      <c r="A140" s="9"/>
      <c r="B140" s="9">
        <v>45823</v>
      </c>
      <c r="C140" s="9" t="str">
        <f t="shared" ca="1" si="6"/>
        <v>CADUCADO</v>
      </c>
      <c r="D140" s="11" t="s">
        <v>369</v>
      </c>
      <c r="E140" s="1" t="s">
        <v>395</v>
      </c>
      <c r="F140" s="2" t="s">
        <v>63</v>
      </c>
      <c r="G140" s="9">
        <v>45820</v>
      </c>
      <c r="H140" s="9">
        <v>46185</v>
      </c>
      <c r="I140" s="9" t="str">
        <f t="shared" ca="1" si="7"/>
        <v>+2 MES</v>
      </c>
    </row>
    <row r="141" spans="1:9">
      <c r="A141" s="9"/>
      <c r="B141" s="9">
        <v>45823</v>
      </c>
      <c r="C141" s="9" t="str">
        <f t="shared" ca="1" si="6"/>
        <v>CADUCADO</v>
      </c>
      <c r="D141" s="11" t="s">
        <v>370</v>
      </c>
      <c r="E141" s="1" t="s">
        <v>395</v>
      </c>
      <c r="F141" s="2" t="s">
        <v>63</v>
      </c>
      <c r="G141" s="9">
        <v>45820</v>
      </c>
      <c r="H141" s="9">
        <v>46185</v>
      </c>
      <c r="I141" s="9" t="str">
        <f t="shared" ca="1" si="7"/>
        <v>+2 MES</v>
      </c>
    </row>
    <row r="142" spans="1:9">
      <c r="A142" s="9"/>
      <c r="B142" s="9">
        <v>45823</v>
      </c>
      <c r="C142" s="9" t="str">
        <f t="shared" ca="1" si="6"/>
        <v>CADUCADO</v>
      </c>
      <c r="D142" s="11" t="s">
        <v>371</v>
      </c>
      <c r="E142" s="1" t="s">
        <v>395</v>
      </c>
      <c r="F142" s="2" t="s">
        <v>63</v>
      </c>
      <c r="G142" s="9">
        <v>45820</v>
      </c>
      <c r="H142" s="9">
        <v>46185</v>
      </c>
      <c r="I142" s="9" t="str">
        <f t="shared" ca="1" si="7"/>
        <v>+2 MES</v>
      </c>
    </row>
    <row r="143" spans="1:9">
      <c r="A143" s="9"/>
      <c r="B143" s="9">
        <v>45823</v>
      </c>
      <c r="C143" s="9" t="str">
        <f t="shared" ca="1" si="6"/>
        <v>CADUCADO</v>
      </c>
      <c r="D143" s="11" t="s">
        <v>372</v>
      </c>
      <c r="E143" s="1" t="s">
        <v>395</v>
      </c>
      <c r="F143" s="2" t="s">
        <v>63</v>
      </c>
      <c r="G143" s="9">
        <v>45820</v>
      </c>
      <c r="H143" s="9">
        <v>46185</v>
      </c>
      <c r="I143" s="9" t="str">
        <f t="shared" ca="1" si="7"/>
        <v>+2 MES</v>
      </c>
    </row>
    <row r="144" spans="1:9">
      <c r="A144" s="9"/>
      <c r="B144" s="9">
        <v>45823</v>
      </c>
      <c r="C144" s="9" t="str">
        <f t="shared" ca="1" si="6"/>
        <v>CADUCADO</v>
      </c>
      <c r="D144" s="11" t="s">
        <v>373</v>
      </c>
      <c r="E144" s="1" t="s">
        <v>395</v>
      </c>
      <c r="F144" s="2" t="s">
        <v>63</v>
      </c>
      <c r="G144" s="9">
        <v>45820</v>
      </c>
      <c r="H144" s="9">
        <v>46185</v>
      </c>
      <c r="I144" s="9" t="str">
        <f t="shared" ca="1" si="7"/>
        <v>+2 MES</v>
      </c>
    </row>
    <row r="145" spans="1:9">
      <c r="A145" s="9"/>
      <c r="B145" s="9">
        <v>45823</v>
      </c>
      <c r="C145" s="9" t="str">
        <f t="shared" ca="1" si="6"/>
        <v>CADUCADO</v>
      </c>
      <c r="D145" s="11" t="s">
        <v>374</v>
      </c>
      <c r="E145" s="1" t="s">
        <v>395</v>
      </c>
      <c r="F145" s="2" t="s">
        <v>63</v>
      </c>
      <c r="G145" s="9">
        <v>45820</v>
      </c>
      <c r="H145" s="9">
        <v>46185</v>
      </c>
      <c r="I145" s="9" t="str">
        <f t="shared" ca="1" si="7"/>
        <v>+2 MES</v>
      </c>
    </row>
    <row r="146" spans="1:9">
      <c r="A146" s="9"/>
      <c r="B146" s="9">
        <v>45823</v>
      </c>
      <c r="C146" s="9" t="str">
        <f t="shared" ca="1" si="6"/>
        <v>CADUCADO</v>
      </c>
      <c r="D146" s="11" t="s">
        <v>375</v>
      </c>
      <c r="E146" s="1" t="s">
        <v>395</v>
      </c>
      <c r="F146" s="2" t="s">
        <v>63</v>
      </c>
      <c r="G146" s="9">
        <v>45820</v>
      </c>
      <c r="H146" s="9">
        <v>46185</v>
      </c>
      <c r="I146" s="9" t="str">
        <f t="shared" ca="1" si="7"/>
        <v>+2 MES</v>
      </c>
    </row>
    <row r="147" spans="1:9">
      <c r="A147" s="9"/>
      <c r="B147" s="9">
        <v>45823</v>
      </c>
      <c r="C147" s="9" t="str">
        <f t="shared" ca="1" si="6"/>
        <v>CADUCADO</v>
      </c>
      <c r="D147" s="11" t="s">
        <v>376</v>
      </c>
      <c r="E147" s="1" t="s">
        <v>395</v>
      </c>
      <c r="F147" s="2" t="s">
        <v>63</v>
      </c>
      <c r="G147" s="9">
        <v>45820</v>
      </c>
      <c r="H147" s="9">
        <v>46185</v>
      </c>
      <c r="I147" s="9" t="str">
        <f t="shared" ca="1" si="7"/>
        <v>+2 MES</v>
      </c>
    </row>
    <row r="148" spans="1:9">
      <c r="A148" s="9"/>
      <c r="B148" s="9">
        <v>45823</v>
      </c>
      <c r="C148" s="9" t="str">
        <f t="shared" ca="1" si="6"/>
        <v>CADUCADO</v>
      </c>
      <c r="D148" s="11" t="s">
        <v>377</v>
      </c>
      <c r="E148" s="1" t="s">
        <v>395</v>
      </c>
      <c r="F148" s="2" t="s">
        <v>63</v>
      </c>
      <c r="G148" s="9">
        <v>45820</v>
      </c>
      <c r="H148" s="9">
        <v>46185</v>
      </c>
      <c r="I148" s="9" t="str">
        <f t="shared" ca="1" si="7"/>
        <v>+2 MES</v>
      </c>
    </row>
    <row r="149" spans="1:9">
      <c r="A149" s="9"/>
      <c r="B149" s="9">
        <v>45823</v>
      </c>
      <c r="C149" s="9" t="str">
        <f t="shared" ca="1" si="6"/>
        <v>CADUCADO</v>
      </c>
      <c r="D149" s="11" t="s">
        <v>378</v>
      </c>
      <c r="E149" s="1" t="s">
        <v>395</v>
      </c>
      <c r="F149" s="2" t="s">
        <v>63</v>
      </c>
      <c r="G149" s="9">
        <v>45820</v>
      </c>
      <c r="H149" s="9">
        <v>46185</v>
      </c>
      <c r="I149" s="9" t="str">
        <f t="shared" ca="1" si="7"/>
        <v>+2 MES</v>
      </c>
    </row>
    <row r="150" spans="1:9">
      <c r="A150" s="9"/>
      <c r="B150" s="9">
        <v>45823</v>
      </c>
      <c r="C150" s="9" t="str">
        <f t="shared" ca="1" si="6"/>
        <v>CADUCADO</v>
      </c>
      <c r="D150" s="11" t="s">
        <v>379</v>
      </c>
      <c r="E150" s="1" t="s">
        <v>395</v>
      </c>
      <c r="F150" s="2" t="s">
        <v>63</v>
      </c>
      <c r="G150" s="9">
        <v>45820</v>
      </c>
      <c r="H150" s="9">
        <v>46185</v>
      </c>
      <c r="I150" s="9" t="str">
        <f t="shared" ca="1" si="7"/>
        <v>+2 MES</v>
      </c>
    </row>
    <row r="151" spans="1:9">
      <c r="A151" s="9"/>
      <c r="B151" s="9">
        <v>45823</v>
      </c>
      <c r="C151" s="9" t="str">
        <f t="shared" ca="1" si="6"/>
        <v>CADUCADO</v>
      </c>
      <c r="D151" s="11" t="s">
        <v>380</v>
      </c>
      <c r="E151" s="1" t="s">
        <v>395</v>
      </c>
      <c r="F151" s="2" t="s">
        <v>63</v>
      </c>
      <c r="G151" s="9">
        <v>45820</v>
      </c>
      <c r="H151" s="9">
        <v>46185</v>
      </c>
      <c r="I151" s="9" t="str">
        <f t="shared" ca="1" si="7"/>
        <v>+2 MES</v>
      </c>
    </row>
    <row r="152" spans="1:9">
      <c r="A152" s="9"/>
      <c r="B152" s="9">
        <v>45823</v>
      </c>
      <c r="C152" s="9" t="str">
        <f t="shared" ca="1" si="6"/>
        <v>CADUCADO</v>
      </c>
      <c r="D152" s="11" t="s">
        <v>381</v>
      </c>
      <c r="E152" s="1" t="s">
        <v>395</v>
      </c>
      <c r="F152" s="2" t="s">
        <v>63</v>
      </c>
      <c r="G152" s="9">
        <v>45820</v>
      </c>
      <c r="H152" s="9">
        <v>46185</v>
      </c>
      <c r="I152" s="9" t="str">
        <f t="shared" ca="1" si="7"/>
        <v>+2 MES</v>
      </c>
    </row>
    <row r="153" spans="1:9">
      <c r="A153" s="9"/>
      <c r="B153" s="9">
        <v>45823</v>
      </c>
      <c r="C153" s="9" t="str">
        <f t="shared" ca="1" si="6"/>
        <v>CADUCADO</v>
      </c>
      <c r="D153" s="11" t="s">
        <v>382</v>
      </c>
      <c r="E153" s="1" t="s">
        <v>395</v>
      </c>
      <c r="F153" s="2" t="s">
        <v>63</v>
      </c>
      <c r="G153" s="9">
        <v>45820</v>
      </c>
      <c r="H153" s="9">
        <v>46185</v>
      </c>
      <c r="I153" s="9" t="str">
        <f t="shared" ca="1" si="7"/>
        <v>+2 MES</v>
      </c>
    </row>
    <row r="154" spans="1:9">
      <c r="A154" s="9"/>
      <c r="B154" s="9">
        <v>45823</v>
      </c>
      <c r="C154" s="9" t="str">
        <f t="shared" ca="1" si="6"/>
        <v>CADUCADO</v>
      </c>
      <c r="D154" s="11" t="s">
        <v>383</v>
      </c>
      <c r="E154" s="1" t="s">
        <v>395</v>
      </c>
      <c r="F154" s="2" t="s">
        <v>63</v>
      </c>
      <c r="G154" s="9">
        <v>45820</v>
      </c>
      <c r="H154" s="9">
        <v>46185</v>
      </c>
      <c r="I154" s="9" t="str">
        <f t="shared" ca="1" si="7"/>
        <v>+2 MES</v>
      </c>
    </row>
    <row r="155" spans="1:9">
      <c r="A155" s="9"/>
      <c r="B155" s="9">
        <v>45823</v>
      </c>
      <c r="C155" s="9" t="str">
        <f t="shared" ca="1" si="6"/>
        <v>CADUCADO</v>
      </c>
      <c r="D155" s="11" t="s">
        <v>384</v>
      </c>
      <c r="E155" s="1" t="s">
        <v>395</v>
      </c>
      <c r="F155" s="2" t="s">
        <v>63</v>
      </c>
      <c r="G155" s="9">
        <v>45820</v>
      </c>
      <c r="H155" s="9">
        <v>46185</v>
      </c>
      <c r="I155" s="9" t="str">
        <f t="shared" ca="1" si="7"/>
        <v>+2 MES</v>
      </c>
    </row>
    <row r="156" spans="1:9">
      <c r="A156" s="9"/>
      <c r="B156" s="9">
        <v>45823</v>
      </c>
      <c r="C156" s="9" t="str">
        <f t="shared" ca="1" si="6"/>
        <v>CADUCADO</v>
      </c>
      <c r="D156" s="11" t="s">
        <v>385</v>
      </c>
      <c r="E156" s="1" t="s">
        <v>395</v>
      </c>
      <c r="F156" s="2" t="s">
        <v>63</v>
      </c>
      <c r="G156" s="9">
        <v>45820</v>
      </c>
      <c r="H156" s="9">
        <v>46185</v>
      </c>
      <c r="I156" s="9" t="str">
        <f t="shared" ca="1" si="7"/>
        <v>+2 MES</v>
      </c>
    </row>
    <row r="157" spans="1:9">
      <c r="A157" s="9"/>
      <c r="B157" s="9">
        <v>45823</v>
      </c>
      <c r="C157" s="9" t="str">
        <f t="shared" ca="1" si="6"/>
        <v>CADUCADO</v>
      </c>
      <c r="D157" s="11" t="s">
        <v>386</v>
      </c>
      <c r="E157" s="1" t="s">
        <v>395</v>
      </c>
      <c r="F157" s="2" t="s">
        <v>63</v>
      </c>
      <c r="G157" s="9">
        <v>45820</v>
      </c>
      <c r="H157" s="9">
        <v>46185</v>
      </c>
      <c r="I157" s="9" t="str">
        <f t="shared" ca="1" si="7"/>
        <v>+2 MES</v>
      </c>
    </row>
    <row r="158" spans="1:9">
      <c r="A158" s="9"/>
      <c r="B158" s="9">
        <v>45823</v>
      </c>
      <c r="C158" s="9" t="str">
        <f t="shared" ca="1" si="6"/>
        <v>CADUCADO</v>
      </c>
      <c r="D158" s="11" t="s">
        <v>387</v>
      </c>
      <c r="E158" s="1" t="s">
        <v>395</v>
      </c>
      <c r="F158" s="2" t="s">
        <v>63</v>
      </c>
      <c r="G158" s="9">
        <v>45820</v>
      </c>
      <c r="H158" s="9">
        <v>46185</v>
      </c>
      <c r="I158" s="9" t="str">
        <f t="shared" ca="1" si="7"/>
        <v>+2 MES</v>
      </c>
    </row>
    <row r="159" spans="1:9">
      <c r="A159" s="9"/>
      <c r="B159" s="9">
        <v>45823</v>
      </c>
      <c r="C159" s="9" t="str">
        <f t="shared" ca="1" si="6"/>
        <v>CADUCADO</v>
      </c>
      <c r="D159" s="11" t="s">
        <v>388</v>
      </c>
      <c r="E159" s="1" t="s">
        <v>395</v>
      </c>
      <c r="F159" s="2" t="s">
        <v>63</v>
      </c>
      <c r="G159" s="9">
        <v>45820</v>
      </c>
      <c r="H159" s="9">
        <v>46185</v>
      </c>
      <c r="I159" s="9" t="str">
        <f t="shared" ca="1" si="7"/>
        <v>+2 MES</v>
      </c>
    </row>
    <row r="160" spans="1:9">
      <c r="A160" s="9"/>
      <c r="B160" s="9">
        <v>45823</v>
      </c>
      <c r="C160" s="9" t="str">
        <f t="shared" ca="1" si="6"/>
        <v>CADUCADO</v>
      </c>
      <c r="D160" s="11" t="s">
        <v>389</v>
      </c>
      <c r="E160" s="1" t="s">
        <v>395</v>
      </c>
      <c r="F160" s="2" t="s">
        <v>63</v>
      </c>
      <c r="G160" s="9">
        <v>45820</v>
      </c>
      <c r="H160" s="9">
        <v>46185</v>
      </c>
      <c r="I160" s="9" t="str">
        <f t="shared" ca="1" si="7"/>
        <v>+2 MES</v>
      </c>
    </row>
    <row r="161" spans="1:9">
      <c r="A161" s="9"/>
      <c r="B161" s="9">
        <v>45823</v>
      </c>
      <c r="C161" s="9" t="str">
        <f t="shared" ca="1" si="6"/>
        <v>CADUCADO</v>
      </c>
      <c r="D161" s="11" t="s">
        <v>390</v>
      </c>
      <c r="E161" s="1" t="s">
        <v>395</v>
      </c>
      <c r="F161" s="2" t="s">
        <v>63</v>
      </c>
      <c r="G161" s="9">
        <v>45820</v>
      </c>
      <c r="H161" s="9">
        <v>46185</v>
      </c>
      <c r="I161" s="9" t="str">
        <f t="shared" ca="1" si="7"/>
        <v>+2 MES</v>
      </c>
    </row>
    <row r="162" spans="1:9">
      <c r="A162" s="9"/>
      <c r="B162" s="9">
        <v>45823</v>
      </c>
      <c r="C162" s="9" t="str">
        <f t="shared" ca="1" si="6"/>
        <v>CADUCADO</v>
      </c>
      <c r="D162" s="11" t="s">
        <v>391</v>
      </c>
      <c r="E162" s="1" t="s">
        <v>395</v>
      </c>
      <c r="F162" s="2" t="s">
        <v>63</v>
      </c>
      <c r="G162" s="9">
        <v>45820</v>
      </c>
      <c r="H162" s="9">
        <v>46185</v>
      </c>
      <c r="I162" s="9" t="str">
        <f t="shared" ca="1" si="7"/>
        <v>+2 MES</v>
      </c>
    </row>
    <row r="163" spans="1:9">
      <c r="A163" s="9"/>
      <c r="B163" s="9">
        <v>45823</v>
      </c>
      <c r="C163" s="9" t="str">
        <f t="shared" ca="1" si="6"/>
        <v>CADUCADO</v>
      </c>
      <c r="D163" s="11" t="s">
        <v>392</v>
      </c>
      <c r="E163" s="1" t="s">
        <v>395</v>
      </c>
      <c r="F163" s="2" t="s">
        <v>63</v>
      </c>
      <c r="G163" s="9">
        <v>45820</v>
      </c>
      <c r="H163" s="9">
        <v>46185</v>
      </c>
      <c r="I163" s="9" t="str">
        <f t="shared" ca="1" si="7"/>
        <v>+2 MES</v>
      </c>
    </row>
    <row r="164" spans="1:9">
      <c r="A164" s="9"/>
      <c r="B164" s="9">
        <v>45823</v>
      </c>
      <c r="C164" s="9" t="str">
        <f t="shared" ca="1" si="6"/>
        <v>CADUCADO</v>
      </c>
      <c r="D164" s="11" t="s">
        <v>393</v>
      </c>
      <c r="E164" s="1" t="s">
        <v>395</v>
      </c>
      <c r="F164" s="2" t="s">
        <v>63</v>
      </c>
      <c r="G164" s="9">
        <v>45820</v>
      </c>
      <c r="H164" s="9">
        <v>46185</v>
      </c>
      <c r="I164" s="9" t="str">
        <f t="shared" ca="1" si="7"/>
        <v>+2 MES</v>
      </c>
    </row>
    <row r="165" spans="1:9">
      <c r="A165" s="9"/>
      <c r="B165" s="9">
        <v>45823</v>
      </c>
      <c r="C165" s="9" t="str">
        <f t="shared" ca="1" si="6"/>
        <v>CADUCADO</v>
      </c>
      <c r="D165" s="11" t="s">
        <v>394</v>
      </c>
      <c r="E165" s="1" t="s">
        <v>395</v>
      </c>
      <c r="F165" s="2" t="s">
        <v>63</v>
      </c>
      <c r="G165" s="9">
        <v>45820</v>
      </c>
      <c r="H165" s="9">
        <v>46185</v>
      </c>
      <c r="I165" s="9" t="str">
        <f t="shared" ca="1" si="7"/>
        <v>+2 MES</v>
      </c>
    </row>
    <row r="166" spans="1:9">
      <c r="A166" s="9"/>
      <c r="B166" s="9"/>
      <c r="C166" s="9" t="str">
        <f t="shared" ca="1" si="6"/>
        <v>CADUCADO</v>
      </c>
      <c r="D166" s="11" t="s">
        <v>396</v>
      </c>
      <c r="E166" s="1" t="s">
        <v>397</v>
      </c>
      <c r="F166" s="2" t="s">
        <v>63</v>
      </c>
      <c r="G166" s="9">
        <v>45826</v>
      </c>
      <c r="H166" s="9">
        <v>46191</v>
      </c>
      <c r="I166" s="9" t="str">
        <f t="shared" ca="1" si="7"/>
        <v>+2 MES</v>
      </c>
    </row>
    <row r="167" spans="1:9">
      <c r="A167" s="9">
        <v>45820</v>
      </c>
      <c r="B167" s="9"/>
      <c r="C167" s="9" t="str">
        <f t="shared" ca="1" si="6"/>
        <v>CADUCADO</v>
      </c>
      <c r="D167" s="11" t="s">
        <v>398</v>
      </c>
      <c r="E167" s="1" t="s">
        <v>401</v>
      </c>
      <c r="F167" s="2" t="s">
        <v>63</v>
      </c>
      <c r="G167" s="9">
        <v>45828</v>
      </c>
      <c r="H167" s="9">
        <v>46193</v>
      </c>
      <c r="I167" s="9" t="str">
        <f t="shared" ca="1" si="7"/>
        <v>+2 MES</v>
      </c>
    </row>
    <row r="168" spans="1:9">
      <c r="A168" s="9">
        <v>45820</v>
      </c>
      <c r="B168" s="9"/>
      <c r="C168" s="9" t="str">
        <f t="shared" ca="1" si="6"/>
        <v>CADUCADO</v>
      </c>
      <c r="D168" s="11" t="s">
        <v>399</v>
      </c>
      <c r="E168" s="1" t="s">
        <v>401</v>
      </c>
      <c r="F168" s="2" t="s">
        <v>63</v>
      </c>
      <c r="G168" s="9">
        <v>45828</v>
      </c>
      <c r="H168" s="9">
        <v>46193</v>
      </c>
      <c r="I168" s="9" t="str">
        <f t="shared" ref="I168:I178" ca="1" si="8">IF(H168&lt;TODAY(),"CADUCADO",IF(H168-TODAY()&gt;=60,"+2 MES",IF(AND(H168-TODAY()&lt;60,H168-TODAY()&gt;=30),"+1 MES",IF(AND(H168-TODAY()&lt;30,H168-TODAY()&gt;15),"+15 DÍAS",IF(AND(H168-TODAY()&lt;=15,H168-TODAY()&gt;7),"+7 DÍAS","CRITICAL")))))</f>
        <v>+2 MES</v>
      </c>
    </row>
    <row r="169" spans="1:9">
      <c r="A169" s="9">
        <v>45820</v>
      </c>
      <c r="B169" s="9"/>
      <c r="C169" s="9" t="str">
        <f t="shared" ca="1" si="6"/>
        <v>CADUCADO</v>
      </c>
      <c r="D169" s="11" t="s">
        <v>400</v>
      </c>
      <c r="E169" s="1" t="s">
        <v>401</v>
      </c>
      <c r="F169" s="2" t="s">
        <v>63</v>
      </c>
      <c r="G169" s="9">
        <v>45828</v>
      </c>
      <c r="H169" s="9">
        <v>46193</v>
      </c>
      <c r="I169" s="9" t="str">
        <f t="shared" ca="1" si="8"/>
        <v>+2 MES</v>
      </c>
    </row>
    <row r="170" spans="1:9">
      <c r="A170" s="9">
        <v>45833</v>
      </c>
      <c r="B170" s="9">
        <v>45829</v>
      </c>
      <c r="C170" s="9" t="str">
        <f t="shared" ca="1" si="6"/>
        <v>CADUCADO</v>
      </c>
      <c r="D170" s="11" t="s">
        <v>402</v>
      </c>
      <c r="E170" s="1" t="s">
        <v>403</v>
      </c>
      <c r="F170" s="2" t="s">
        <v>63</v>
      </c>
      <c r="G170" s="9">
        <v>45833</v>
      </c>
      <c r="H170" s="9">
        <v>46198</v>
      </c>
      <c r="I170" s="9" t="str">
        <f t="shared" ca="1" si="8"/>
        <v>+2 MES</v>
      </c>
    </row>
    <row r="171" spans="1:9">
      <c r="A171" s="9">
        <v>45853</v>
      </c>
      <c r="B171" s="9"/>
      <c r="C171" s="9" t="str">
        <f t="shared" ca="1" si="6"/>
        <v>CADUCADO</v>
      </c>
      <c r="D171" s="11" t="s">
        <v>428</v>
      </c>
      <c r="E171" s="1" t="s">
        <v>430</v>
      </c>
      <c r="F171" s="2" t="s">
        <v>63</v>
      </c>
      <c r="G171" s="9">
        <v>45853</v>
      </c>
      <c r="H171" s="9">
        <v>46218</v>
      </c>
      <c r="I171" s="9" t="str">
        <f t="shared" ca="1" si="8"/>
        <v>+2 MES</v>
      </c>
    </row>
    <row r="172" spans="1:9">
      <c r="A172" s="9">
        <v>45839</v>
      </c>
      <c r="B172" s="9">
        <v>45860</v>
      </c>
      <c r="C172" s="9" t="str">
        <f t="shared" ca="1" si="6"/>
        <v>CADUCADO</v>
      </c>
      <c r="D172" s="11" t="s">
        <v>405</v>
      </c>
      <c r="E172" s="1" t="s">
        <v>406</v>
      </c>
      <c r="F172" s="2" t="s">
        <v>63</v>
      </c>
      <c r="G172" s="9">
        <v>45839</v>
      </c>
      <c r="H172" s="9">
        <v>46204</v>
      </c>
      <c r="I172" s="9" t="str">
        <f t="shared" ca="1" si="8"/>
        <v>+2 MES</v>
      </c>
    </row>
    <row r="173" spans="1:9">
      <c r="A173" s="9">
        <v>45840</v>
      </c>
      <c r="B173" s="9"/>
      <c r="C173" s="9" t="str">
        <f t="shared" ca="1" si="6"/>
        <v>CADUCADO</v>
      </c>
      <c r="D173" s="11" t="s">
        <v>421</v>
      </c>
      <c r="E173" s="1" t="s">
        <v>420</v>
      </c>
      <c r="F173" s="2" t="s">
        <v>63</v>
      </c>
      <c r="G173" s="9">
        <v>45841</v>
      </c>
      <c r="H173" s="9">
        <v>46206</v>
      </c>
      <c r="I173" s="9" t="str">
        <f t="shared" ca="1" si="8"/>
        <v>+2 MES</v>
      </c>
    </row>
    <row r="174" spans="1:9">
      <c r="A174" s="9">
        <v>45842</v>
      </c>
      <c r="B174" s="9">
        <v>45888</v>
      </c>
      <c r="C174" s="9" t="str">
        <f t="shared" ca="1" si="6"/>
        <v>CADUCADO</v>
      </c>
      <c r="D174" s="11" t="s">
        <v>422</v>
      </c>
      <c r="E174" s="1" t="s">
        <v>424</v>
      </c>
      <c r="F174" s="2" t="s">
        <v>63</v>
      </c>
      <c r="G174" s="9">
        <v>45842</v>
      </c>
      <c r="H174" s="9">
        <v>46207</v>
      </c>
      <c r="I174" s="9" t="str">
        <f t="shared" ca="1" si="8"/>
        <v>+2 MES</v>
      </c>
    </row>
    <row r="175" spans="1:9">
      <c r="A175" s="9">
        <v>45842</v>
      </c>
      <c r="B175" s="9">
        <v>45888</v>
      </c>
      <c r="C175" s="9" t="str">
        <f t="shared" ca="1" si="6"/>
        <v>CADUCADO</v>
      </c>
      <c r="D175" s="11" t="s">
        <v>423</v>
      </c>
      <c r="E175" s="1" t="s">
        <v>424</v>
      </c>
      <c r="F175" s="2" t="s">
        <v>63</v>
      </c>
      <c r="G175" s="9">
        <v>45842</v>
      </c>
      <c r="H175" s="9">
        <v>46207</v>
      </c>
      <c r="I175" s="9" t="str">
        <f t="shared" ca="1" si="8"/>
        <v>+2 MES</v>
      </c>
    </row>
    <row r="176" spans="1:9">
      <c r="A176" s="9">
        <v>45848</v>
      </c>
      <c r="B176" s="9">
        <v>45876</v>
      </c>
      <c r="C176" s="9" t="str">
        <f t="shared" ca="1" si="6"/>
        <v>CADUCADO</v>
      </c>
      <c r="D176" s="11" t="s">
        <v>425</v>
      </c>
      <c r="E176" s="1" t="s">
        <v>427</v>
      </c>
      <c r="F176" s="2" t="s">
        <v>63</v>
      </c>
      <c r="G176" s="9">
        <v>45849</v>
      </c>
      <c r="H176" s="9">
        <v>46214</v>
      </c>
      <c r="I176" s="9" t="str">
        <f t="shared" ca="1" si="8"/>
        <v>+2 MES</v>
      </c>
    </row>
    <row r="177" spans="1:9">
      <c r="A177" s="9">
        <v>45848</v>
      </c>
      <c r="B177" s="9">
        <v>45876</v>
      </c>
      <c r="C177" s="9" t="str">
        <f t="shared" ca="1" si="6"/>
        <v>CADUCADO</v>
      </c>
      <c r="D177" s="11" t="s">
        <v>426</v>
      </c>
      <c r="E177" s="1" t="s">
        <v>427</v>
      </c>
      <c r="F177" s="2" t="s">
        <v>63</v>
      </c>
      <c r="G177" s="9">
        <v>45849</v>
      </c>
      <c r="H177" s="9">
        <v>46214</v>
      </c>
      <c r="I177" s="9" t="str">
        <f t="shared" ca="1" si="8"/>
        <v>+2 MES</v>
      </c>
    </row>
    <row r="178" spans="1:9">
      <c r="A178" s="9">
        <v>45853</v>
      </c>
      <c r="B178" s="9">
        <v>45853</v>
      </c>
      <c r="C178" s="9" t="str">
        <f t="shared" ca="1" si="6"/>
        <v>CADUCADO</v>
      </c>
      <c r="D178" s="11" t="s">
        <v>429</v>
      </c>
      <c r="E178" s="1" t="s">
        <v>430</v>
      </c>
      <c r="F178" s="2" t="s">
        <v>63</v>
      </c>
      <c r="G178" s="9">
        <v>45853</v>
      </c>
      <c r="H178" s="9">
        <v>46218</v>
      </c>
      <c r="I178" s="9" t="str">
        <f t="shared" ca="1" si="8"/>
        <v>+2 MES</v>
      </c>
    </row>
    <row r="179" spans="1:9">
      <c r="A179" s="9">
        <v>45853</v>
      </c>
      <c r="B179" s="9">
        <v>45853</v>
      </c>
      <c r="C179" s="9" t="str">
        <f t="shared" ref="C179:C192" ca="1" si="9">IF(B179&lt;TODAY(),"CADUCADO",IF(B179-TODAY()&gt;=60,"+2 MES",IF(AND(B179-TODAY()&lt;60,B179-TODAY()&gt;=30),"+1 MES",IF(AND(B179-TODAY()&lt;30,B179-TODAY()&gt;15),"+15 DÍAS",IF(AND(B179-TODAY()&lt;=15,B179-TODAY()&gt;7),"+7 DÍAS","CRITICAL")))))</f>
        <v>CADUCADO</v>
      </c>
      <c r="D179" s="11" t="s">
        <v>433</v>
      </c>
      <c r="E179" s="1" t="s">
        <v>430</v>
      </c>
      <c r="F179" s="2" t="s">
        <v>63</v>
      </c>
      <c r="G179" s="9">
        <v>45853</v>
      </c>
      <c r="H179" s="9">
        <v>46218</v>
      </c>
      <c r="I179" s="9" t="str">
        <f ca="1">IF(H179&lt;TODAY(),"CADUCADO",IF(H179-TODAY()&gt;=60,"+2 MES",IF(AND(H179-TODAY()&lt;60,H179-TODAY()&gt;=30),"+1 MES",IF(AND(H179-TODAY()&lt;30,H179-TODAY()&gt;15),"+15 DÍAS",IF(AND(H179-TODAY()&lt;=15,H179-TODAY()&gt;7),"+7 DÍAS","CRITICAL")))))</f>
        <v>+2 MES</v>
      </c>
    </row>
    <row r="180" spans="1:9">
      <c r="A180" s="9">
        <v>45853</v>
      </c>
      <c r="B180" s="9">
        <v>45875</v>
      </c>
      <c r="C180" s="9" t="str">
        <f t="shared" ca="1" si="9"/>
        <v>CADUCADO</v>
      </c>
      <c r="D180" s="11" t="s">
        <v>436</v>
      </c>
      <c r="F180" s="2" t="s">
        <v>63</v>
      </c>
      <c r="G180" s="9">
        <v>45853</v>
      </c>
      <c r="H180" s="9">
        <v>46218</v>
      </c>
      <c r="I180" s="9" t="str">
        <f t="shared" ref="I180:I192" ca="1" si="10">IF(H180&lt;TODAY(),"CADUCADO",IF(H180-TODAY()&gt;=60,"+2 MES",IF(AND(H180-TODAY()&lt;60,H180-TODAY()&gt;=30),"+1 MES",IF(AND(H180-TODAY()&lt;30,H180-TODAY()&gt;15),"+15 DÍAS",IF(AND(H180-TODAY()&lt;=15,H180-TODAY()&gt;7),"+7 DÍAS","CRITICAL")))))</f>
        <v>+2 MES</v>
      </c>
    </row>
    <row r="181" spans="1:9">
      <c r="A181" s="9">
        <v>45853</v>
      </c>
      <c r="B181" s="9">
        <v>45875</v>
      </c>
      <c r="C181" s="9" t="str">
        <f t="shared" ca="1" si="9"/>
        <v>CADUCADO</v>
      </c>
      <c r="D181" s="11" t="s">
        <v>437</v>
      </c>
      <c r="F181" s="2" t="s">
        <v>63</v>
      </c>
      <c r="G181" s="9">
        <v>45853</v>
      </c>
      <c r="H181" s="9">
        <v>46218</v>
      </c>
      <c r="I181" s="9" t="str">
        <f t="shared" ca="1" si="10"/>
        <v>+2 MES</v>
      </c>
    </row>
    <row r="182" spans="1:9">
      <c r="A182" s="9">
        <v>45853</v>
      </c>
      <c r="B182" s="9">
        <v>45875</v>
      </c>
      <c r="C182" s="9" t="str">
        <f t="shared" ca="1" si="9"/>
        <v>CADUCADO</v>
      </c>
      <c r="D182" s="11" t="s">
        <v>438</v>
      </c>
      <c r="F182" s="2" t="s">
        <v>63</v>
      </c>
      <c r="G182" s="9">
        <v>45853</v>
      </c>
      <c r="H182" s="9">
        <v>46218</v>
      </c>
      <c r="I182" s="9" t="str">
        <f t="shared" ca="1" si="10"/>
        <v>+2 MES</v>
      </c>
    </row>
    <row r="183" spans="1:9">
      <c r="A183" s="9">
        <v>45853</v>
      </c>
      <c r="B183" s="9">
        <v>45875</v>
      </c>
      <c r="C183" s="9" t="str">
        <f t="shared" ca="1" si="9"/>
        <v>CADUCADO</v>
      </c>
      <c r="D183" s="11" t="s">
        <v>439</v>
      </c>
      <c r="F183" s="2" t="s">
        <v>63</v>
      </c>
      <c r="G183" s="9">
        <v>45853</v>
      </c>
      <c r="H183" s="9">
        <v>46218</v>
      </c>
      <c r="I183" s="9" t="str">
        <f t="shared" ca="1" si="10"/>
        <v>+2 MES</v>
      </c>
    </row>
    <row r="184" spans="1:9">
      <c r="A184" s="9">
        <v>45855</v>
      </c>
      <c r="B184" s="9">
        <v>45883</v>
      </c>
      <c r="C184" s="9" t="str">
        <f t="shared" ca="1" si="9"/>
        <v>CADUCADO</v>
      </c>
      <c r="D184" s="11" t="s">
        <v>449</v>
      </c>
      <c r="F184" s="2" t="s">
        <v>63</v>
      </c>
      <c r="G184" s="9">
        <v>45855</v>
      </c>
      <c r="H184" s="9">
        <v>46220</v>
      </c>
      <c r="I184" s="9" t="str">
        <f t="shared" ca="1" si="10"/>
        <v>+2 MES</v>
      </c>
    </row>
    <row r="185" spans="1:9">
      <c r="A185" s="9"/>
      <c r="B185" s="9"/>
      <c r="C185" s="9" t="str">
        <f t="shared" ca="1" si="9"/>
        <v>CADUCADO</v>
      </c>
      <c r="D185" s="11" t="s">
        <v>450</v>
      </c>
      <c r="F185" s="2" t="s">
        <v>63</v>
      </c>
      <c r="G185" s="9">
        <v>45748</v>
      </c>
      <c r="H185" s="9">
        <v>46114</v>
      </c>
      <c r="I185" s="9" t="str">
        <f t="shared" ca="1" si="10"/>
        <v>+2 MES</v>
      </c>
    </row>
    <row r="186" spans="1:9">
      <c r="A186" s="9">
        <v>45855</v>
      </c>
      <c r="B186" s="9">
        <v>45888</v>
      </c>
      <c r="C186" s="9" t="str">
        <f t="shared" ca="1" si="9"/>
        <v>CADUCADO</v>
      </c>
      <c r="D186" s="11" t="s">
        <v>451</v>
      </c>
      <c r="F186" s="2" t="s">
        <v>63</v>
      </c>
      <c r="G186" s="9">
        <v>45855</v>
      </c>
      <c r="H186" s="9">
        <v>46220</v>
      </c>
      <c r="I186" s="9" t="str">
        <f t="shared" ca="1" si="10"/>
        <v>+2 MES</v>
      </c>
    </row>
    <row r="187" spans="1:9">
      <c r="A187" s="9">
        <v>45855</v>
      </c>
      <c r="B187" s="9">
        <v>45892</v>
      </c>
      <c r="C187" s="9" t="str">
        <f t="shared" ca="1" si="9"/>
        <v>CADUCADO</v>
      </c>
      <c r="D187" s="11" t="s">
        <v>13</v>
      </c>
      <c r="F187" s="2" t="s">
        <v>63</v>
      </c>
      <c r="G187" s="9">
        <v>45855</v>
      </c>
      <c r="H187" s="9">
        <v>46220</v>
      </c>
      <c r="I187" s="9" t="str">
        <f t="shared" ca="1" si="10"/>
        <v>+2 MES</v>
      </c>
    </row>
    <row r="188" spans="1:9">
      <c r="A188" s="9">
        <v>45855</v>
      </c>
      <c r="B188" s="9">
        <v>45899</v>
      </c>
      <c r="C188" s="9" t="str">
        <f t="shared" ca="1" si="9"/>
        <v>CADUCADO</v>
      </c>
      <c r="D188" s="11" t="s">
        <v>452</v>
      </c>
      <c r="F188" s="2" t="s">
        <v>63</v>
      </c>
      <c r="G188" s="9">
        <v>45855</v>
      </c>
      <c r="H188" s="9">
        <v>46220</v>
      </c>
      <c r="I188" s="9" t="str">
        <f t="shared" ca="1" si="10"/>
        <v>+2 MES</v>
      </c>
    </row>
    <row r="189" spans="1:9">
      <c r="A189" s="9">
        <v>45855</v>
      </c>
      <c r="B189" s="9">
        <v>45903</v>
      </c>
      <c r="C189" s="9" t="str">
        <f t="shared" ca="1" si="9"/>
        <v>CADUCADO</v>
      </c>
      <c r="D189" s="11" t="s">
        <v>453</v>
      </c>
      <c r="F189" s="2" t="s">
        <v>63</v>
      </c>
      <c r="G189" s="9">
        <v>45855</v>
      </c>
      <c r="H189" s="9">
        <v>46220</v>
      </c>
      <c r="I189" s="9" t="str">
        <f t="shared" ca="1" si="10"/>
        <v>+2 MES</v>
      </c>
    </row>
    <row r="190" spans="1:9">
      <c r="A190" s="9"/>
      <c r="B190" s="9"/>
      <c r="C190" s="9" t="str">
        <f t="shared" ca="1" si="9"/>
        <v>CADUCADO</v>
      </c>
      <c r="D190" s="11" t="s">
        <v>461</v>
      </c>
      <c r="F190" s="2" t="s">
        <v>63</v>
      </c>
      <c r="G190" s="9">
        <v>45860</v>
      </c>
      <c r="H190" s="9">
        <v>46225</v>
      </c>
      <c r="I190" s="9" t="str">
        <f t="shared" ca="1" si="10"/>
        <v>+2 MES</v>
      </c>
    </row>
    <row r="191" spans="1:9">
      <c r="A191" s="9"/>
      <c r="B191" s="9"/>
      <c r="C191" s="9" t="str">
        <f t="shared" ca="1" si="9"/>
        <v>CADUCADO</v>
      </c>
      <c r="D191" s="11" t="s">
        <v>462</v>
      </c>
      <c r="F191" s="2" t="s">
        <v>63</v>
      </c>
      <c r="G191" s="9">
        <v>45860</v>
      </c>
      <c r="H191" s="9">
        <v>46225</v>
      </c>
      <c r="I191" s="9" t="str">
        <f t="shared" ca="1" si="10"/>
        <v>+2 MES</v>
      </c>
    </row>
    <row r="192" spans="1:9">
      <c r="A192" s="9">
        <v>45873</v>
      </c>
      <c r="B192" s="9">
        <v>45914</v>
      </c>
      <c r="C192" s="9" t="str">
        <f t="shared" ca="1" si="9"/>
        <v>CADUCADO</v>
      </c>
      <c r="D192" s="11" t="s">
        <v>464</v>
      </c>
      <c r="E192" s="1" t="s">
        <v>468</v>
      </c>
      <c r="F192" s="2" t="s">
        <v>63</v>
      </c>
      <c r="G192" s="9">
        <v>45873</v>
      </c>
      <c r="H192" s="9">
        <v>46238</v>
      </c>
      <c r="I192" s="9" t="str">
        <f t="shared" ca="1" si="10"/>
        <v>+2 MES</v>
      </c>
    </row>
    <row r="193" spans="1:9">
      <c r="A193" s="9"/>
      <c r="B193" s="9"/>
      <c r="C193" s="9"/>
      <c r="D193" s="11" t="s">
        <v>465</v>
      </c>
      <c r="E193" s="1" t="s">
        <v>468</v>
      </c>
      <c r="F193" s="2" t="s">
        <v>63</v>
      </c>
      <c r="G193" s="9">
        <v>45873</v>
      </c>
      <c r="H193" s="9">
        <v>46238</v>
      </c>
      <c r="I193" s="9" t="str">
        <f t="shared" ref="I193:I213" ca="1" si="11">IF(H193&lt;TODAY(),"CADUCADO",IF(H193-TODAY()&gt;=60,"+2 MES",IF(AND(H193-TODAY()&lt;60,H193-TODAY()&gt;=30),"+1 MES",IF(AND(H193-TODAY()&lt;30,H193-TODAY()&gt;15),"+15 DÍAS",IF(AND(H193-TODAY()&lt;=15,H193-TODAY()&gt;7),"+7 DÍAS","CRITICAL")))))</f>
        <v>+2 MES</v>
      </c>
    </row>
    <row r="194" spans="1:9">
      <c r="A194" s="9"/>
      <c r="B194" s="9"/>
      <c r="C194" s="9"/>
      <c r="D194" s="11" t="s">
        <v>466</v>
      </c>
      <c r="E194" s="1" t="s">
        <v>468</v>
      </c>
      <c r="F194" s="2" t="s">
        <v>63</v>
      </c>
      <c r="G194" s="9">
        <v>45873</v>
      </c>
      <c r="H194" s="9">
        <v>46238</v>
      </c>
      <c r="I194" s="9" t="str">
        <f t="shared" ca="1" si="11"/>
        <v>+2 MES</v>
      </c>
    </row>
    <row r="195" spans="1:9">
      <c r="A195" s="9"/>
      <c r="B195" s="9"/>
      <c r="C195" s="9"/>
      <c r="D195" s="11" t="s">
        <v>467</v>
      </c>
      <c r="E195" s="1" t="s">
        <v>468</v>
      </c>
      <c r="F195" s="2" t="s">
        <v>63</v>
      </c>
      <c r="G195" s="9">
        <v>45873</v>
      </c>
      <c r="H195" s="9">
        <v>46238</v>
      </c>
      <c r="I195" s="9" t="str">
        <f t="shared" ca="1" si="11"/>
        <v>+2 MES</v>
      </c>
    </row>
    <row r="196" spans="1:9">
      <c r="A196" s="9">
        <v>45877</v>
      </c>
      <c r="B196" s="9">
        <v>45910</v>
      </c>
      <c r="C196" s="9" t="str">
        <f ca="1">IF(B196&lt;TODAY(),"CADUCADO",IF(B196-TODAY()&gt;=60,"+2 MES",IF(AND(B196-TODAY()&lt;60,B196-TODAY()&gt;=30),"+1 MES",IF(AND(B196-TODAY()&lt;30,B196-TODAY()&gt;15),"+15 DÍAS",IF(AND(B196-TODAY()&lt;=15,B196-TODAY()&gt;7),"+7 DÍAS","CRITICAL")))))</f>
        <v>CADUCADO</v>
      </c>
      <c r="D196" s="11" t="s">
        <v>471</v>
      </c>
      <c r="E196" s="1" t="s">
        <v>473</v>
      </c>
      <c r="F196" s="2" t="s">
        <v>63</v>
      </c>
      <c r="G196" s="9">
        <v>45877</v>
      </c>
      <c r="H196" s="9">
        <v>46242</v>
      </c>
      <c r="I196" s="9" t="str">
        <f t="shared" ca="1" si="11"/>
        <v>+2 MES</v>
      </c>
    </row>
    <row r="197" spans="1:9">
      <c r="A197" s="9">
        <v>45877</v>
      </c>
      <c r="B197" s="9">
        <v>45910</v>
      </c>
      <c r="C197" s="9" t="str">
        <f ca="1">IF(B197&lt;TODAY(),"CADUCADO",IF(B197-TODAY()&gt;=60,"+2 MES",IF(AND(B197-TODAY()&lt;60,B197-TODAY()&gt;=30),"+1 MES",IF(AND(B197-TODAY()&lt;30,B197-TODAY()&gt;15),"+15 DÍAS",IF(AND(B197-TODAY()&lt;=15,B197-TODAY()&gt;7),"+7 DÍAS","CRITICAL")))))</f>
        <v>CADUCADO</v>
      </c>
      <c r="D197" s="11" t="s">
        <v>472</v>
      </c>
      <c r="E197" s="1" t="s">
        <v>474</v>
      </c>
      <c r="F197" s="2" t="s">
        <v>63</v>
      </c>
      <c r="G197" s="9">
        <v>45877</v>
      </c>
      <c r="H197" s="9">
        <v>46242</v>
      </c>
      <c r="I197" s="9" t="str">
        <f t="shared" ca="1" si="11"/>
        <v>+2 MES</v>
      </c>
    </row>
    <row r="198" spans="1:9">
      <c r="A198" s="9">
        <v>45896</v>
      </c>
      <c r="B198" s="9">
        <v>45927</v>
      </c>
      <c r="C198" s="9" t="str">
        <f ca="1">IF(B198&lt;TODAY(),"CADUCADO",IF(B198-TODAY()&gt;=60,"+2 MES",IF(AND(B198-TODAY()&lt;60,B198-TODAY()&gt;=30),"+1 MES",IF(AND(B198-TODAY()&lt;30,B198-TODAY()&gt;15),"+15 DÍAS",IF(AND(B198-TODAY()&lt;=15,B198-TODAY()&gt;7),"+7 DÍAS","CRITICAL")))))</f>
        <v>CADUCADO</v>
      </c>
      <c r="D198" s="11" t="s">
        <v>476</v>
      </c>
      <c r="E198" s="1" t="s">
        <v>477</v>
      </c>
      <c r="F198" s="2" t="s">
        <v>63</v>
      </c>
      <c r="G198" s="9">
        <v>45901</v>
      </c>
      <c r="H198" s="9">
        <v>46266</v>
      </c>
      <c r="I198" s="9" t="str">
        <f t="shared" ca="1" si="11"/>
        <v>+2 MES</v>
      </c>
    </row>
    <row r="199" spans="1:9">
      <c r="A199" s="9"/>
      <c r="B199" s="9">
        <v>45927</v>
      </c>
      <c r="C199" s="9"/>
      <c r="D199" s="11" t="s">
        <v>478</v>
      </c>
      <c r="F199" s="2"/>
      <c r="G199" s="9">
        <v>45901</v>
      </c>
      <c r="H199" s="9">
        <v>46266</v>
      </c>
      <c r="I199" s="9" t="str">
        <f t="shared" ca="1" si="11"/>
        <v>+2 MES</v>
      </c>
    </row>
    <row r="200" spans="1:9">
      <c r="A200" s="9"/>
      <c r="B200" s="9">
        <v>45927</v>
      </c>
      <c r="C200" s="9"/>
      <c r="D200" s="11" t="s">
        <v>479</v>
      </c>
      <c r="F200" s="2"/>
      <c r="G200" s="9">
        <v>45909</v>
      </c>
      <c r="H200" s="9">
        <v>46266</v>
      </c>
      <c r="I200" s="9" t="str">
        <f t="shared" ca="1" si="11"/>
        <v>+2 MES</v>
      </c>
    </row>
    <row r="201" spans="1:9">
      <c r="A201" s="9">
        <v>45905</v>
      </c>
      <c r="B201" s="9">
        <v>46274</v>
      </c>
      <c r="C201" s="9"/>
      <c r="D201" s="11" t="s">
        <v>480</v>
      </c>
      <c r="E201" s="17" t="s">
        <v>481</v>
      </c>
      <c r="F201" s="2" t="s">
        <v>63</v>
      </c>
      <c r="G201" s="9">
        <v>45909</v>
      </c>
      <c r="H201" s="9">
        <v>46274</v>
      </c>
      <c r="I201" s="9" t="str">
        <f t="shared" ca="1" si="11"/>
        <v>+2 MES</v>
      </c>
    </row>
    <row r="202" spans="1:9">
      <c r="A202" s="9">
        <v>45910</v>
      </c>
      <c r="B202" s="9">
        <v>47361</v>
      </c>
      <c r="C202" s="9"/>
      <c r="D202" s="18" t="s">
        <v>482</v>
      </c>
      <c r="E202" s="17" t="s">
        <v>484</v>
      </c>
      <c r="F202" s="2" t="s">
        <v>63</v>
      </c>
      <c r="G202" s="9">
        <v>45910</v>
      </c>
      <c r="H202" s="9">
        <v>47361</v>
      </c>
      <c r="I202" s="9" t="str">
        <f t="shared" ca="1" si="11"/>
        <v>+2 MES</v>
      </c>
    </row>
    <row r="203" spans="1:9">
      <c r="A203" s="9">
        <v>45915</v>
      </c>
      <c r="B203" s="9">
        <v>47361</v>
      </c>
      <c r="D203" s="11" t="s">
        <v>485</v>
      </c>
      <c r="E203" s="19" t="s">
        <v>489</v>
      </c>
      <c r="G203" s="9">
        <v>45915</v>
      </c>
      <c r="H203" s="9">
        <v>47361</v>
      </c>
      <c r="I203" s="9" t="str">
        <f t="shared" ca="1" si="11"/>
        <v>+2 MES</v>
      </c>
    </row>
    <row r="204" spans="1:9">
      <c r="A204" s="9">
        <v>45915</v>
      </c>
      <c r="B204" s="9">
        <v>47361</v>
      </c>
      <c r="D204" s="11" t="s">
        <v>486</v>
      </c>
      <c r="E204" s="1" t="s">
        <v>488</v>
      </c>
      <c r="G204" s="9">
        <v>45915</v>
      </c>
      <c r="H204" s="9">
        <v>47361</v>
      </c>
      <c r="I204" s="9" t="str">
        <f t="shared" ca="1" si="11"/>
        <v>+2 MES</v>
      </c>
    </row>
    <row r="205" spans="1:9">
      <c r="A205" s="9">
        <v>45915</v>
      </c>
      <c r="B205" s="9">
        <v>47361</v>
      </c>
      <c r="D205" s="11" t="s">
        <v>487</v>
      </c>
      <c r="E205" s="1" t="s">
        <v>483</v>
      </c>
      <c r="G205" s="9">
        <v>45918</v>
      </c>
      <c r="H205" s="9">
        <v>47361</v>
      </c>
      <c r="I205" s="9" t="str">
        <f t="shared" ca="1" si="11"/>
        <v>+2 MES</v>
      </c>
    </row>
    <row r="206" spans="1:9">
      <c r="A206" s="9">
        <v>45918</v>
      </c>
      <c r="B206" s="9">
        <v>47361</v>
      </c>
      <c r="D206" s="11" t="s">
        <v>490</v>
      </c>
      <c r="E206" s="17" t="s">
        <v>491</v>
      </c>
      <c r="G206" s="9">
        <v>45915</v>
      </c>
      <c r="H206" s="9">
        <v>47361</v>
      </c>
      <c r="I206" s="9" t="str">
        <f t="shared" ca="1" si="11"/>
        <v>+2 MES</v>
      </c>
    </row>
    <row r="207" spans="1:9">
      <c r="A207" s="9">
        <v>45918</v>
      </c>
      <c r="B207" s="9">
        <v>47361</v>
      </c>
      <c r="D207" s="11" t="s">
        <v>498</v>
      </c>
      <c r="E207" s="17" t="s">
        <v>499</v>
      </c>
      <c r="G207" s="9">
        <v>45923</v>
      </c>
      <c r="H207" s="9">
        <v>47361</v>
      </c>
      <c r="I207" s="9" t="str">
        <f t="shared" ca="1" si="11"/>
        <v>+2 MES</v>
      </c>
    </row>
    <row r="208" spans="1:9">
      <c r="A208" s="9">
        <v>45922</v>
      </c>
      <c r="B208" s="9">
        <v>47361</v>
      </c>
      <c r="D208" s="11" t="s">
        <v>497</v>
      </c>
      <c r="E208" s="17" t="s">
        <v>499</v>
      </c>
      <c r="G208" s="9">
        <v>45923</v>
      </c>
      <c r="H208" s="9">
        <v>47361</v>
      </c>
      <c r="I208" s="9" t="str">
        <f t="shared" ca="1" si="11"/>
        <v>+2 MES</v>
      </c>
    </row>
    <row r="209" spans="1:9">
      <c r="A209" s="9">
        <v>45918</v>
      </c>
      <c r="B209" s="9">
        <v>47361</v>
      </c>
      <c r="D209" s="11" t="s">
        <v>506</v>
      </c>
      <c r="E209" s="17" t="s">
        <v>507</v>
      </c>
      <c r="G209" s="9">
        <v>45922</v>
      </c>
      <c r="H209" s="9">
        <v>47361</v>
      </c>
      <c r="I209" s="9" t="str">
        <f t="shared" ca="1" si="11"/>
        <v>+2 MES</v>
      </c>
    </row>
    <row r="210" spans="1:9">
      <c r="A210" s="9">
        <v>44441</v>
      </c>
      <c r="B210" s="9">
        <v>47361</v>
      </c>
      <c r="D210" s="11" t="s">
        <v>492</v>
      </c>
      <c r="E210" s="17" t="s">
        <v>493</v>
      </c>
      <c r="G210" s="9">
        <v>45925</v>
      </c>
      <c r="H210" s="9">
        <v>47361</v>
      </c>
      <c r="I210" s="9" t="str">
        <f t="shared" ca="1" si="11"/>
        <v>+2 MES</v>
      </c>
    </row>
    <row r="211" spans="1:9">
      <c r="A211" s="9">
        <v>45925</v>
      </c>
      <c r="B211" s="9">
        <v>47361</v>
      </c>
      <c r="D211" s="11" t="s">
        <v>494</v>
      </c>
      <c r="E211" s="17" t="s">
        <v>496</v>
      </c>
      <c r="G211" s="9">
        <v>45925</v>
      </c>
      <c r="H211" s="9">
        <v>47361</v>
      </c>
      <c r="I211" s="9" t="str">
        <f t="shared" ca="1" si="11"/>
        <v>+2 MES</v>
      </c>
    </row>
    <row r="212" spans="1:9">
      <c r="A212" s="9">
        <v>45925</v>
      </c>
      <c r="B212" s="9">
        <v>47361</v>
      </c>
      <c r="D212" s="11" t="s">
        <v>495</v>
      </c>
      <c r="E212" s="17" t="s">
        <v>496</v>
      </c>
      <c r="G212" s="9">
        <v>45925</v>
      </c>
      <c r="H212" s="9">
        <v>47361</v>
      </c>
      <c r="I212" s="9" t="str">
        <f t="shared" ca="1" si="11"/>
        <v>+2 MES</v>
      </c>
    </row>
    <row r="213" spans="1:9" ht="14.25" customHeight="1">
      <c r="A213" s="9">
        <v>45926</v>
      </c>
      <c r="B213" s="9">
        <v>46291</v>
      </c>
      <c r="D213" s="11" t="s">
        <v>500</v>
      </c>
      <c r="E213" s="17" t="s">
        <v>501</v>
      </c>
      <c r="G213" s="9">
        <v>45931</v>
      </c>
      <c r="H213" s="9">
        <v>46291</v>
      </c>
      <c r="I213" s="9" t="str">
        <f t="shared" ca="1" si="11"/>
        <v>+2 MES</v>
      </c>
    </row>
    <row r="214" spans="1:9">
      <c r="A214" s="9">
        <v>45929</v>
      </c>
      <c r="D214" s="11" t="s">
        <v>513</v>
      </c>
      <c r="E214" s="17" t="s">
        <v>514</v>
      </c>
      <c r="G214" s="9">
        <v>45929</v>
      </c>
    </row>
    <row r="215" spans="1:9">
      <c r="A215" s="9"/>
      <c r="B215" s="9"/>
      <c r="D215" s="11" t="s">
        <v>508</v>
      </c>
      <c r="E215" s="17" t="s">
        <v>509</v>
      </c>
      <c r="G215" s="9"/>
      <c r="H215" s="9"/>
      <c r="I215" s="9"/>
    </row>
    <row r="216" spans="1:9">
      <c r="A216" s="9"/>
      <c r="B216" s="9"/>
      <c r="D216" s="11" t="s">
        <v>510</v>
      </c>
      <c r="E216" s="17" t="s">
        <v>509</v>
      </c>
      <c r="G216" s="9"/>
      <c r="H216" s="9"/>
      <c r="I216" s="9"/>
    </row>
    <row r="217" spans="1:9">
      <c r="A217" s="9">
        <v>45931</v>
      </c>
      <c r="D217" s="11" t="s">
        <v>503</v>
      </c>
      <c r="E217" s="17" t="s">
        <v>502</v>
      </c>
      <c r="G217" s="9">
        <v>45932</v>
      </c>
    </row>
    <row r="218" spans="1:9">
      <c r="A218" s="9">
        <v>45931</v>
      </c>
      <c r="D218" s="18" t="s">
        <v>505</v>
      </c>
      <c r="E218" s="1" t="s">
        <v>504</v>
      </c>
      <c r="G218" s="9">
        <v>45927</v>
      </c>
    </row>
    <row r="219" spans="1:9">
      <c r="A219" s="9">
        <v>45936</v>
      </c>
      <c r="B219" s="9">
        <v>47361</v>
      </c>
      <c r="D219" s="11" t="s">
        <v>511</v>
      </c>
      <c r="E219" s="17" t="s">
        <v>512</v>
      </c>
      <c r="G219" s="9">
        <v>45936</v>
      </c>
      <c r="H219" s="9">
        <v>47361</v>
      </c>
      <c r="I219" s="9" t="str">
        <f t="shared" ref="I219" ca="1" si="12">IF(H219&lt;TODAY(),"CADUCADO",IF(H219-TODAY()&gt;=60,"+2 MES",IF(AND(H219-TODAY()&lt;60,H219-TODAY()&gt;=30),"+1 MES",IF(AND(H219-TODAY()&lt;30,H219-TODAY()&gt;15),"+15 DÍAS",IF(AND(H219-TODAY()&lt;=15,H219-TODAY()&gt;7),"+7 DÍAS","CRITICAL")))))</f>
        <v>+2 MES</v>
      </c>
    </row>
    <row r="229" spans="6:6">
      <c r="F229" s="20"/>
    </row>
  </sheetData>
  <autoFilter ref="A1:J198"/>
  <phoneticPr fontId="6" type="noConversion"/>
  <hyperlinks>
    <hyperlink ref="D18" r:id="rId1" display="http://www.santpau.cat/"/>
    <hyperlink ref="D19" r:id="rId2" display="http://www.santpau.es/"/>
    <hyperlink ref="E201" r:id="rId3" display="http://172.31.50.54:8080/browse/HSP-291938"/>
    <hyperlink ref="E202" r:id="rId4" display="http://172.31.50.54:8080/browse/HSP-292083"/>
    <hyperlink ref="E206" r:id="rId5" display="http://jira01.santpau.es:8080/browse/HSP-293439"/>
    <hyperlink ref="E210" r:id="rId6" display="http://172.31.50.54:8080/browse/HSP-293895"/>
    <hyperlink ref="E211" r:id="rId7" display="http://172.31.50.54:8080/browse/HSP-294419"/>
    <hyperlink ref="E212" r:id="rId8" display="http://172.31.50.54:8080/browse/HSP-294419"/>
    <hyperlink ref="E207" r:id="rId9" display="http://172.31.50.54:8080/browse/HSP-293621"/>
    <hyperlink ref="E208" r:id="rId10" display="http://172.31.50.54:8080/browse/HSP-293621"/>
    <hyperlink ref="E213" r:id="rId11" display="http://172.31.50.54:8080/browse/HSP-294535"/>
    <hyperlink ref="E217" r:id="rId12" display="http://jira01.santpau.es:8080/browse/HSP-295277"/>
    <hyperlink ref="E219" r:id="rId13" display="http://172.31.50.54:8080/browse/HSP-295962"/>
    <hyperlink ref="E214" r:id="rId14" display="http://172.31.50.54:8080/browse/HSP-294698"/>
  </hyperlinks>
  <pageMargins left="0.7" right="0.7" top="0.75" bottom="0.75" header="0.3" footer="0.3"/>
  <pageSetup paperSize="9" orientation="portrait" r:id="rId15"/>
  <ignoredErrors>
    <ignoredError sqref="C2:C41 C42:C107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"/>
  <sheetViews>
    <sheetView zoomScale="137" workbookViewId="0">
      <pane ySplit="1" topLeftCell="A51" activePane="bottomLeft" state="frozen"/>
      <selection pane="bottomLeft" activeCell="A114" sqref="A114"/>
    </sheetView>
  </sheetViews>
  <sheetFormatPr baseColWidth="10" defaultColWidth="11" defaultRowHeight="15"/>
  <cols>
    <col min="1" max="1" width="68" style="4" customWidth="1"/>
    <col min="2" max="2" width="62.109375" style="15" bestFit="1" customWidth="1"/>
    <col min="3" max="3" width="16.6640625" style="4" customWidth="1"/>
    <col min="4" max="4" width="1.109375" style="4" customWidth="1"/>
    <col min="5" max="5" width="14.109375" style="4" bestFit="1" customWidth="1"/>
    <col min="6" max="16384" width="11" style="4"/>
  </cols>
  <sheetData>
    <row r="1" spans="1:5">
      <c r="A1" s="4" t="s">
        <v>266</v>
      </c>
      <c r="B1" s="15" t="s">
        <v>265</v>
      </c>
      <c r="C1" s="4" t="s">
        <v>264</v>
      </c>
      <c r="D1" s="8"/>
      <c r="E1" s="4" t="s">
        <v>263</v>
      </c>
    </row>
    <row r="2" spans="1:5">
      <c r="A2" s="6" t="s">
        <v>187</v>
      </c>
      <c r="B2" s="15" t="s">
        <v>186</v>
      </c>
      <c r="C2" s="10">
        <v>45701</v>
      </c>
      <c r="D2" s="5"/>
      <c r="E2" s="4" t="str">
        <f t="shared" ref="E2:E31" ca="1" si="0">IF(C2&lt;TODAY(),"CADUCADO",IF(C2-TODAY()&gt;=60,"+2 MES",IF(AND(C2-TODAY()&lt;60,C2-TODAY()&gt;=30),"+1 MES",IF(AND(C2-TODAY()&lt;30,C2-TODAY()&gt;15),"+15 DÍAS",IF(AND(C2-TODAY()&lt;=15,C2-TODAY()&gt;7),"+7 DÍAS","CRITICAL")))))</f>
        <v>CADUCADO</v>
      </c>
    </row>
    <row r="3" spans="1:5">
      <c r="A3" s="6" t="s">
        <v>198</v>
      </c>
      <c r="B3" s="15" t="s">
        <v>197</v>
      </c>
      <c r="C3" s="10">
        <v>45716</v>
      </c>
      <c r="D3" s="5"/>
      <c r="E3" s="4" t="str">
        <f t="shared" ca="1" si="0"/>
        <v>CADUCADO</v>
      </c>
    </row>
    <row r="4" spans="1:5">
      <c r="A4" s="6" t="s">
        <v>181</v>
      </c>
      <c r="B4" s="15" t="s">
        <v>180</v>
      </c>
      <c r="C4" s="10">
        <v>45716</v>
      </c>
      <c r="D4" s="5"/>
      <c r="E4" s="4" t="str">
        <f t="shared" ca="1" si="0"/>
        <v>CADUCADO</v>
      </c>
    </row>
    <row r="5" spans="1:5">
      <c r="A5" s="6" t="s">
        <v>151</v>
      </c>
      <c r="B5" s="15" t="s">
        <v>150</v>
      </c>
      <c r="C5" s="10">
        <v>45720</v>
      </c>
      <c r="D5" s="5"/>
      <c r="E5" s="4" t="str">
        <f t="shared" ca="1" si="0"/>
        <v>CADUCADO</v>
      </c>
    </row>
    <row r="6" spans="1:5">
      <c r="A6" s="6" t="s">
        <v>216</v>
      </c>
      <c r="B6" s="15" t="s">
        <v>215</v>
      </c>
      <c r="C6" s="10">
        <v>45741</v>
      </c>
      <c r="D6" s="5"/>
      <c r="E6" s="4" t="str">
        <f t="shared" ca="1" si="0"/>
        <v>CADUCADO</v>
      </c>
    </row>
    <row r="7" spans="1:5">
      <c r="A7" s="6" t="s">
        <v>160</v>
      </c>
      <c r="B7" s="15" t="s">
        <v>158</v>
      </c>
      <c r="C7" s="10">
        <v>45788</v>
      </c>
      <c r="D7" s="5"/>
      <c r="E7" s="4" t="str">
        <f t="shared" ca="1" si="0"/>
        <v>CADUCADO</v>
      </c>
    </row>
    <row r="8" spans="1:5">
      <c r="A8" s="6" t="s">
        <v>232</v>
      </c>
      <c r="B8" s="15" t="s">
        <v>230</v>
      </c>
      <c r="C8" s="10">
        <v>45790</v>
      </c>
      <c r="D8" s="5"/>
      <c r="E8" s="4" t="str">
        <f t="shared" ca="1" si="0"/>
        <v>CADUCADO</v>
      </c>
    </row>
    <row r="9" spans="1:5">
      <c r="A9" s="6" t="s">
        <v>120</v>
      </c>
      <c r="B9" s="15" t="s">
        <v>119</v>
      </c>
      <c r="C9" s="10">
        <v>45790</v>
      </c>
      <c r="D9" s="5"/>
      <c r="E9" s="4" t="str">
        <f t="shared" ca="1" si="0"/>
        <v>CADUCADO</v>
      </c>
    </row>
    <row r="10" spans="1:5">
      <c r="A10" s="6" t="s">
        <v>118</v>
      </c>
      <c r="B10" s="15" t="s">
        <v>117</v>
      </c>
      <c r="C10" s="10">
        <v>45790</v>
      </c>
      <c r="D10" s="5"/>
      <c r="E10" s="4" t="str">
        <f t="shared" ca="1" si="0"/>
        <v>CADUCADO</v>
      </c>
    </row>
    <row r="11" spans="1:5">
      <c r="A11" s="6" t="s">
        <v>228</v>
      </c>
      <c r="B11" s="15" t="s">
        <v>227</v>
      </c>
      <c r="C11" s="10">
        <v>45805</v>
      </c>
      <c r="D11" s="5"/>
      <c r="E11" s="4" t="str">
        <f t="shared" ca="1" si="0"/>
        <v>CADUCADO</v>
      </c>
    </row>
    <row r="12" spans="1:5">
      <c r="A12" s="6" t="s">
        <v>258</v>
      </c>
      <c r="B12" s="15" t="s">
        <v>257</v>
      </c>
      <c r="C12" s="10">
        <v>45806</v>
      </c>
      <c r="D12" s="5"/>
      <c r="E12" s="4" t="str">
        <f t="shared" ca="1" si="0"/>
        <v>CADUCADO</v>
      </c>
    </row>
    <row r="13" spans="1:5">
      <c r="A13" s="6" t="s">
        <v>234</v>
      </c>
      <c r="B13" s="15" t="s">
        <v>233</v>
      </c>
      <c r="C13" s="10">
        <v>45806</v>
      </c>
      <c r="D13" s="5"/>
      <c r="E13" s="4" t="str">
        <f t="shared" ca="1" si="0"/>
        <v>CADUCADO</v>
      </c>
    </row>
    <row r="14" spans="1:5">
      <c r="A14" s="6" t="s">
        <v>226</v>
      </c>
      <c r="B14" s="15" t="s">
        <v>225</v>
      </c>
      <c r="C14" s="10">
        <v>45806</v>
      </c>
      <c r="D14" s="5"/>
      <c r="E14" s="4" t="str">
        <f t="shared" ca="1" si="0"/>
        <v>CADUCADO</v>
      </c>
    </row>
    <row r="15" spans="1:5">
      <c r="A15" s="6" t="s">
        <v>213</v>
      </c>
      <c r="B15" s="15" t="s">
        <v>212</v>
      </c>
      <c r="C15" s="10">
        <v>45806</v>
      </c>
      <c r="D15" s="5"/>
      <c r="E15" s="4" t="str">
        <f t="shared" ca="1" si="0"/>
        <v>CADUCADO</v>
      </c>
    </row>
    <row r="16" spans="1:5">
      <c r="A16" s="6" t="s">
        <v>210</v>
      </c>
      <c r="B16" s="15" t="s">
        <v>209</v>
      </c>
      <c r="C16" s="10">
        <v>45806</v>
      </c>
      <c r="D16" s="5"/>
      <c r="E16" s="4" t="str">
        <f t="shared" ca="1" si="0"/>
        <v>CADUCADO</v>
      </c>
    </row>
    <row r="17" spans="1:5">
      <c r="A17" s="6" t="s">
        <v>208</v>
      </c>
      <c r="B17" s="15" t="s">
        <v>207</v>
      </c>
      <c r="C17" s="10">
        <v>45806</v>
      </c>
      <c r="D17" s="5"/>
      <c r="E17" s="4" t="str">
        <f t="shared" ca="1" si="0"/>
        <v>CADUCADO</v>
      </c>
    </row>
    <row r="18" spans="1:5">
      <c r="A18" s="6" t="s">
        <v>200</v>
      </c>
      <c r="B18" s="15" t="s">
        <v>199</v>
      </c>
      <c r="C18" s="10">
        <v>45806</v>
      </c>
      <c r="D18" s="5"/>
      <c r="E18" s="4" t="str">
        <f t="shared" ca="1" si="0"/>
        <v>CADUCADO</v>
      </c>
    </row>
    <row r="19" spans="1:5">
      <c r="A19" s="6" t="s">
        <v>185</v>
      </c>
      <c r="B19" s="15" t="s">
        <v>184</v>
      </c>
      <c r="C19" s="10">
        <v>45806</v>
      </c>
      <c r="D19" s="5"/>
      <c r="E19" s="4" t="str">
        <f t="shared" ca="1" si="0"/>
        <v>CADUCADO</v>
      </c>
    </row>
    <row r="20" spans="1:5">
      <c r="A20" s="6" t="s">
        <v>183</v>
      </c>
      <c r="B20" s="15" t="s">
        <v>182</v>
      </c>
      <c r="C20" s="10">
        <v>45806</v>
      </c>
      <c r="D20" s="5"/>
      <c r="E20" s="4" t="str">
        <f t="shared" ca="1" si="0"/>
        <v>CADUCADO</v>
      </c>
    </row>
    <row r="21" spans="1:5">
      <c r="A21" s="6" t="s">
        <v>168</v>
      </c>
      <c r="B21" s="15" t="s">
        <v>167</v>
      </c>
      <c r="C21" s="10">
        <v>45806</v>
      </c>
      <c r="D21" s="5"/>
      <c r="E21" s="4" t="str">
        <f t="shared" ca="1" si="0"/>
        <v>CADUCADO</v>
      </c>
    </row>
    <row r="22" spans="1:5">
      <c r="A22" s="6" t="s">
        <v>122</v>
      </c>
      <c r="B22" s="15" t="s">
        <v>121</v>
      </c>
      <c r="C22" s="10">
        <v>45806</v>
      </c>
      <c r="D22" s="5"/>
      <c r="E22" s="4" t="str">
        <f t="shared" ca="1" si="0"/>
        <v>CADUCADO</v>
      </c>
    </row>
    <row r="23" spans="1:5">
      <c r="A23" s="6" t="s">
        <v>196</v>
      </c>
      <c r="B23" s="16" t="s">
        <v>195</v>
      </c>
      <c r="C23" s="10">
        <v>45808</v>
      </c>
      <c r="D23" s="7"/>
      <c r="E23" s="4" t="str">
        <f t="shared" ca="1" si="0"/>
        <v>CADUCADO</v>
      </c>
    </row>
    <row r="24" spans="1:5">
      <c r="A24" s="6" t="s">
        <v>469</v>
      </c>
      <c r="B24" s="15" t="s">
        <v>149</v>
      </c>
      <c r="C24" s="10">
        <v>46238</v>
      </c>
      <c r="D24" s="5"/>
      <c r="E24" s="4" t="str">
        <f t="shared" ca="1" si="0"/>
        <v>+2 MES</v>
      </c>
    </row>
    <row r="25" spans="1:5">
      <c r="A25" s="6" t="s">
        <v>470</v>
      </c>
      <c r="B25" s="15" t="s">
        <v>240</v>
      </c>
      <c r="C25" s="10">
        <v>46238</v>
      </c>
      <c r="D25" s="5"/>
      <c r="E25" s="4" t="str">
        <f t="shared" ca="1" si="0"/>
        <v>+2 MES</v>
      </c>
    </row>
    <row r="26" spans="1:5">
      <c r="A26" s="6" t="s">
        <v>239</v>
      </c>
      <c r="B26" s="15" t="s">
        <v>238</v>
      </c>
      <c r="C26" s="10">
        <v>46238</v>
      </c>
      <c r="D26" s="5"/>
      <c r="E26" s="4" t="str">
        <f t="shared" ca="1" si="0"/>
        <v>+2 MES</v>
      </c>
    </row>
    <row r="27" spans="1:5">
      <c r="A27" s="6" t="s">
        <v>454</v>
      </c>
      <c r="B27" s="15" t="s">
        <v>165</v>
      </c>
      <c r="C27" s="10">
        <v>46114</v>
      </c>
      <c r="D27" s="5"/>
      <c r="E27" s="4" t="str">
        <f t="shared" ca="1" si="0"/>
        <v>+2 MES</v>
      </c>
    </row>
    <row r="28" spans="1:5">
      <c r="A28" s="6" t="s">
        <v>460</v>
      </c>
      <c r="B28" s="15" t="s">
        <v>211</v>
      </c>
      <c r="C28" s="10">
        <v>46220</v>
      </c>
      <c r="D28" s="5"/>
      <c r="E28" s="4" t="str">
        <f t="shared" ca="1" si="0"/>
        <v>+2 MES</v>
      </c>
    </row>
    <row r="29" spans="1:5">
      <c r="A29" s="6" t="s">
        <v>459</v>
      </c>
      <c r="B29" s="15" t="s">
        <v>235</v>
      </c>
      <c r="C29" s="10">
        <v>46220</v>
      </c>
      <c r="D29" s="5"/>
      <c r="E29" s="4" t="str">
        <f t="shared" ca="1" si="0"/>
        <v>+2 MES</v>
      </c>
    </row>
    <row r="30" spans="1:5">
      <c r="A30" s="6" t="s">
        <v>458</v>
      </c>
      <c r="B30" s="15" t="s">
        <v>175</v>
      </c>
      <c r="C30" s="10">
        <v>46220</v>
      </c>
      <c r="D30" s="5"/>
      <c r="E30" s="4" t="str">
        <f t="shared" ca="1" si="0"/>
        <v>+2 MES</v>
      </c>
    </row>
    <row r="31" spans="1:5">
      <c r="A31" s="6" t="s">
        <v>455</v>
      </c>
      <c r="B31" s="15" t="s">
        <v>157</v>
      </c>
      <c r="C31" s="10">
        <v>46220</v>
      </c>
      <c r="D31" s="5"/>
      <c r="E31" s="4" t="str">
        <f t="shared" ca="1" si="0"/>
        <v>+2 MES</v>
      </c>
    </row>
    <row r="32" spans="1:5">
      <c r="A32" s="6" t="s">
        <v>174</v>
      </c>
      <c r="B32" s="15" t="s">
        <v>173</v>
      </c>
      <c r="C32" s="10">
        <v>45919</v>
      </c>
      <c r="D32" s="5"/>
      <c r="E32" s="4" t="str">
        <f t="shared" ref="E32:E63" ca="1" si="1">IF(C32&lt;TODAY(),"CADUCADO",IF(C32-TODAY()&gt;=60,"+2 MES",IF(AND(C32-TODAY()&lt;60,C32-TODAY()&gt;=30),"+1 MES",IF(AND(C32-TODAY()&lt;30,C32-TODAY()&gt;15),"+15 DÍAS",IF(AND(C32-TODAY()&lt;=15,C32-TODAY()&gt;7),"+7 DÍAS","CRITICAL")))))</f>
        <v>CADUCADO</v>
      </c>
    </row>
    <row r="33" spans="1:5">
      <c r="A33" s="6" t="s">
        <v>262</v>
      </c>
      <c r="B33" s="15" t="s">
        <v>261</v>
      </c>
      <c r="C33" s="10">
        <v>45926</v>
      </c>
      <c r="D33" s="5"/>
      <c r="E33" s="4" t="str">
        <f t="shared" ca="1" si="1"/>
        <v>CADUCADO</v>
      </c>
    </row>
    <row r="34" spans="1:5">
      <c r="A34" s="6" t="s">
        <v>260</v>
      </c>
      <c r="B34" s="15" t="s">
        <v>259</v>
      </c>
      <c r="C34" s="10">
        <v>45926</v>
      </c>
      <c r="D34" s="5"/>
      <c r="E34" s="4" t="str">
        <f t="shared" ca="1" si="1"/>
        <v>CADUCADO</v>
      </c>
    </row>
    <row r="35" spans="1:5">
      <c r="A35" s="6" t="s">
        <v>164</v>
      </c>
      <c r="B35" s="15" t="s">
        <v>163</v>
      </c>
      <c r="C35" s="10">
        <v>45927</v>
      </c>
      <c r="D35" s="5"/>
      <c r="E35" s="4" t="str">
        <f t="shared" ca="1" si="1"/>
        <v>CADUCADO</v>
      </c>
    </row>
    <row r="36" spans="1:5">
      <c r="A36" s="6" t="s">
        <v>194</v>
      </c>
      <c r="B36" s="15" t="s">
        <v>193</v>
      </c>
      <c r="C36" s="10">
        <v>45954</v>
      </c>
      <c r="D36" s="5"/>
      <c r="E36" s="4" t="str">
        <f t="shared" ca="1" si="1"/>
        <v>+15 DÍAS</v>
      </c>
    </row>
    <row r="37" spans="1:5">
      <c r="A37" s="6" t="s">
        <v>244</v>
      </c>
      <c r="B37" s="15" t="s">
        <v>243</v>
      </c>
      <c r="C37" s="10">
        <v>46008</v>
      </c>
      <c r="D37" s="5"/>
      <c r="E37" s="4" t="str">
        <f t="shared" ca="1" si="1"/>
        <v>+2 MES</v>
      </c>
    </row>
    <row r="38" spans="1:5">
      <c r="A38" s="6" t="s">
        <v>177</v>
      </c>
      <c r="B38" s="15" t="s">
        <v>176</v>
      </c>
      <c r="C38" s="10">
        <v>46008</v>
      </c>
      <c r="D38" s="5"/>
      <c r="E38" s="4" t="str">
        <f t="shared" ca="1" si="1"/>
        <v>+2 MES</v>
      </c>
    </row>
    <row r="39" spans="1:5">
      <c r="A39" s="6" t="s">
        <v>206</v>
      </c>
      <c r="B39" s="15" t="s">
        <v>205</v>
      </c>
      <c r="C39" s="10">
        <v>46049</v>
      </c>
      <c r="D39" s="5"/>
      <c r="E39" s="4" t="str">
        <f t="shared" ca="1" si="1"/>
        <v>+2 MES</v>
      </c>
    </row>
    <row r="40" spans="1:5">
      <c r="A40" s="6" t="s">
        <v>306</v>
      </c>
      <c r="B40" s="15" t="s">
        <v>303</v>
      </c>
      <c r="C40" s="10">
        <v>46059</v>
      </c>
      <c r="D40" s="5"/>
      <c r="E40" s="4" t="str">
        <f t="shared" ca="1" si="1"/>
        <v>+2 MES</v>
      </c>
    </row>
    <row r="41" spans="1:5">
      <c r="A41" s="6" t="s">
        <v>444</v>
      </c>
      <c r="B41" s="15" t="s">
        <v>203</v>
      </c>
      <c r="C41" s="10">
        <v>46070</v>
      </c>
      <c r="D41" s="5"/>
      <c r="E41" s="4" t="str">
        <f t="shared" ca="1" si="1"/>
        <v>+2 MES</v>
      </c>
    </row>
    <row r="42" spans="1:5">
      <c r="A42" s="6" t="s">
        <v>143</v>
      </c>
      <c r="B42" s="15" t="s">
        <v>142</v>
      </c>
      <c r="C42" s="10">
        <v>46080</v>
      </c>
      <c r="D42" s="5"/>
      <c r="E42" s="4" t="str">
        <f t="shared" ca="1" si="1"/>
        <v>+2 MES</v>
      </c>
    </row>
    <row r="43" spans="1:5">
      <c r="A43" s="6" t="s">
        <v>254</v>
      </c>
      <c r="B43" s="15" t="s">
        <v>253</v>
      </c>
      <c r="C43" s="10">
        <v>46081</v>
      </c>
      <c r="D43" s="5"/>
      <c r="E43" s="4" t="str">
        <f t="shared" ca="1" si="1"/>
        <v>+2 MES</v>
      </c>
    </row>
    <row r="44" spans="1:5">
      <c r="A44" s="6" t="s">
        <v>256</v>
      </c>
      <c r="B44" s="15" t="s">
        <v>255</v>
      </c>
      <c r="C44" s="10">
        <v>46086</v>
      </c>
      <c r="D44" s="5"/>
      <c r="E44" s="4" t="str">
        <f t="shared" ca="1" si="1"/>
        <v>+2 MES</v>
      </c>
    </row>
    <row r="45" spans="1:5">
      <c r="A45" s="6" t="s">
        <v>124</v>
      </c>
      <c r="B45" s="15" t="s">
        <v>123</v>
      </c>
      <c r="C45" s="10">
        <v>46086</v>
      </c>
      <c r="D45" s="5"/>
      <c r="E45" s="4" t="str">
        <f t="shared" ca="1" si="1"/>
        <v>+2 MES</v>
      </c>
    </row>
    <row r="46" spans="1:5">
      <c r="A46" s="6" t="s">
        <v>116</v>
      </c>
      <c r="B46" s="15" t="s">
        <v>115</v>
      </c>
      <c r="C46" s="10">
        <v>46086</v>
      </c>
      <c r="D46" s="5"/>
      <c r="E46" s="4" t="str">
        <f t="shared" ca="1" si="1"/>
        <v>+2 MES</v>
      </c>
    </row>
    <row r="47" spans="1:5">
      <c r="A47" s="6" t="s">
        <v>170</v>
      </c>
      <c r="B47" s="15" t="s">
        <v>169</v>
      </c>
      <c r="C47" s="10">
        <v>46095</v>
      </c>
      <c r="D47" s="5"/>
      <c r="E47" s="4" t="str">
        <f t="shared" ca="1" si="1"/>
        <v>+2 MES</v>
      </c>
    </row>
    <row r="48" spans="1:5">
      <c r="A48" s="6" t="s">
        <v>251</v>
      </c>
      <c r="B48" s="15" t="s">
        <v>250</v>
      </c>
      <c r="C48" s="10">
        <v>46099</v>
      </c>
      <c r="D48" s="5"/>
      <c r="E48" s="4" t="str">
        <f t="shared" ca="1" si="1"/>
        <v>+2 MES</v>
      </c>
    </row>
    <row r="49" spans="1:5">
      <c r="A49" s="6" t="s">
        <v>249</v>
      </c>
      <c r="B49" s="15" t="s">
        <v>248</v>
      </c>
      <c r="C49" s="10">
        <v>46099</v>
      </c>
      <c r="D49" s="5"/>
      <c r="E49" s="4" t="str">
        <f t="shared" ca="1" si="1"/>
        <v>+2 MES</v>
      </c>
    </row>
    <row r="50" spans="1:5">
      <c r="A50" s="6" t="s">
        <v>222</v>
      </c>
      <c r="B50" s="15" t="s">
        <v>221</v>
      </c>
      <c r="C50" s="10">
        <v>46101</v>
      </c>
      <c r="D50" s="5"/>
      <c r="E50" s="4" t="str">
        <f t="shared" ca="1" si="1"/>
        <v>+2 MES</v>
      </c>
    </row>
    <row r="51" spans="1:5">
      <c r="A51" s="6" t="s">
        <v>475</v>
      </c>
      <c r="B51" s="15" t="s">
        <v>350</v>
      </c>
      <c r="C51" s="10">
        <v>46246</v>
      </c>
      <c r="D51" s="5"/>
      <c r="E51" s="4" t="str">
        <f t="shared" ca="1" si="1"/>
        <v>+2 MES</v>
      </c>
    </row>
    <row r="52" spans="1:5">
      <c r="A52" s="6" t="s">
        <v>279</v>
      </c>
      <c r="B52" s="15" t="s">
        <v>223</v>
      </c>
      <c r="C52" s="10">
        <v>46107</v>
      </c>
      <c r="D52" s="5"/>
      <c r="E52" s="4" t="str">
        <f t="shared" ca="1" si="1"/>
        <v>+2 MES</v>
      </c>
    </row>
    <row r="53" spans="1:5">
      <c r="A53" s="6" t="s">
        <v>273</v>
      </c>
      <c r="B53" s="15" t="s">
        <v>214</v>
      </c>
      <c r="C53" s="10">
        <v>46107</v>
      </c>
      <c r="D53" s="5"/>
      <c r="E53" s="4" t="str">
        <f t="shared" ca="1" si="1"/>
        <v>+2 MES</v>
      </c>
    </row>
    <row r="54" spans="1:5">
      <c r="A54" s="6" t="s">
        <v>242</v>
      </c>
      <c r="B54" s="15" t="s">
        <v>241</v>
      </c>
      <c r="C54" s="10">
        <v>46113</v>
      </c>
      <c r="D54" s="5"/>
      <c r="E54" s="4" t="str">
        <f t="shared" ca="1" si="1"/>
        <v>+2 MES</v>
      </c>
    </row>
    <row r="55" spans="1:5">
      <c r="A55" s="6" t="s">
        <v>414</v>
      </c>
      <c r="B55" s="15" t="s">
        <v>219</v>
      </c>
      <c r="C55" s="10">
        <v>46113</v>
      </c>
      <c r="D55" s="5"/>
      <c r="E55" s="4" t="str">
        <f t="shared" ca="1" si="1"/>
        <v>+2 MES</v>
      </c>
    </row>
    <row r="56" spans="1:5">
      <c r="A56" s="6" t="s">
        <v>412</v>
      </c>
      <c r="B56" s="15" t="s">
        <v>218</v>
      </c>
      <c r="C56" s="10">
        <v>46113</v>
      </c>
      <c r="D56" s="5"/>
      <c r="E56" s="4" t="str">
        <f t="shared" ca="1" si="1"/>
        <v>+2 MES</v>
      </c>
    </row>
    <row r="57" spans="1:5">
      <c r="A57" s="6" t="s">
        <v>410</v>
      </c>
      <c r="B57" s="15" t="s">
        <v>179</v>
      </c>
      <c r="C57" s="10">
        <v>46113</v>
      </c>
      <c r="D57" s="5"/>
      <c r="E57" s="4" t="str">
        <f t="shared" ca="1" si="1"/>
        <v>+2 MES</v>
      </c>
    </row>
    <row r="58" spans="1:5">
      <c r="A58" s="6" t="s">
        <v>280</v>
      </c>
      <c r="B58" s="15" t="s">
        <v>281</v>
      </c>
      <c r="C58" s="10">
        <v>46119</v>
      </c>
      <c r="D58" s="5"/>
      <c r="E58" s="4" t="str">
        <f t="shared" ca="1" si="1"/>
        <v>+2 MES</v>
      </c>
    </row>
    <row r="59" spans="1:5">
      <c r="A59" s="6" t="s">
        <v>311</v>
      </c>
      <c r="B59" s="15" t="s">
        <v>144</v>
      </c>
      <c r="C59" s="10">
        <v>46119</v>
      </c>
      <c r="D59" s="5"/>
      <c r="E59" s="4" t="str">
        <f t="shared" ca="1" si="1"/>
        <v>+2 MES</v>
      </c>
    </row>
    <row r="60" spans="1:5">
      <c r="A60" s="6" t="s">
        <v>231</v>
      </c>
      <c r="B60" s="15" t="s">
        <v>230</v>
      </c>
      <c r="C60" s="10">
        <v>46126</v>
      </c>
      <c r="D60" s="5"/>
      <c r="E60" s="4" t="str">
        <f t="shared" ca="1" si="1"/>
        <v>+2 MES</v>
      </c>
    </row>
    <row r="61" spans="1:5">
      <c r="A61" s="6" t="s">
        <v>413</v>
      </c>
      <c r="B61" s="15" t="s">
        <v>220</v>
      </c>
      <c r="C61" s="10">
        <v>46126</v>
      </c>
      <c r="D61" s="5"/>
      <c r="E61" s="4" t="str">
        <f t="shared" ca="1" si="1"/>
        <v>+2 MES</v>
      </c>
    </row>
    <row r="62" spans="1:5">
      <c r="A62" s="6" t="s">
        <v>411</v>
      </c>
      <c r="B62" s="15" t="s">
        <v>217</v>
      </c>
      <c r="C62" s="10">
        <v>46126</v>
      </c>
      <c r="D62" s="5"/>
      <c r="E62" s="4" t="str">
        <f t="shared" ca="1" si="1"/>
        <v>+2 MES</v>
      </c>
    </row>
    <row r="63" spans="1:5">
      <c r="A63" s="6" t="s">
        <v>409</v>
      </c>
      <c r="B63" s="15" t="s">
        <v>178</v>
      </c>
      <c r="C63" s="10">
        <v>46126</v>
      </c>
      <c r="D63" s="5"/>
      <c r="E63" s="4" t="str">
        <f t="shared" ca="1" si="1"/>
        <v>+2 MES</v>
      </c>
    </row>
    <row r="64" spans="1:5">
      <c r="A64" s="6" t="s">
        <v>159</v>
      </c>
      <c r="B64" s="15" t="s">
        <v>158</v>
      </c>
      <c r="C64" s="10">
        <v>46126</v>
      </c>
      <c r="D64" s="5"/>
      <c r="E64" s="4" t="str">
        <f t="shared" ref="E64:E95" ca="1" si="2">IF(C64&lt;TODAY(),"CADUCADO",IF(C64-TODAY()&gt;=60,"+2 MES",IF(AND(C64-TODAY()&lt;60,C64-TODAY()&gt;=30),"+1 MES",IF(AND(C64-TODAY()&lt;30,C64-TODAY()&gt;15),"+15 DÍAS",IF(AND(C64-TODAY()&lt;=15,C64-TODAY()&gt;7),"+7 DÍAS","CRITICAL")))))</f>
        <v>+2 MES</v>
      </c>
    </row>
    <row r="65" spans="1:5">
      <c r="A65" s="6" t="s">
        <v>135</v>
      </c>
      <c r="B65" s="15" t="s">
        <v>134</v>
      </c>
      <c r="C65" s="10">
        <v>46126</v>
      </c>
      <c r="D65" s="5"/>
      <c r="E65" s="4" t="str">
        <f t="shared" ca="1" si="2"/>
        <v>+2 MES</v>
      </c>
    </row>
    <row r="66" spans="1:5">
      <c r="A66" s="6" t="s">
        <v>344</v>
      </c>
      <c r="B66" s="15" t="s">
        <v>152</v>
      </c>
      <c r="C66" s="10">
        <v>46128</v>
      </c>
      <c r="D66" s="5"/>
      <c r="E66" s="4" t="str">
        <f t="shared" ca="1" si="2"/>
        <v>+2 MES</v>
      </c>
    </row>
    <row r="67" spans="1:5">
      <c r="A67" s="6" t="s">
        <v>141</v>
      </c>
      <c r="B67" s="15" t="s">
        <v>140</v>
      </c>
      <c r="C67" s="10">
        <v>46128</v>
      </c>
      <c r="D67" s="5"/>
      <c r="E67" s="4" t="str">
        <f t="shared" ca="1" si="2"/>
        <v>+2 MES</v>
      </c>
    </row>
    <row r="68" spans="1:5">
      <c r="A68" s="6" t="s">
        <v>139</v>
      </c>
      <c r="B68" s="15" t="s">
        <v>138</v>
      </c>
      <c r="C68" s="10">
        <v>46128</v>
      </c>
      <c r="D68" s="5"/>
      <c r="E68" s="4" t="str">
        <f t="shared" ca="1" si="2"/>
        <v>+2 MES</v>
      </c>
    </row>
    <row r="69" spans="1:5">
      <c r="A69" s="6" t="s">
        <v>137</v>
      </c>
      <c r="B69" s="15" t="s">
        <v>136</v>
      </c>
      <c r="C69" s="10">
        <v>46128</v>
      </c>
      <c r="D69" s="5"/>
      <c r="E69" s="4" t="str">
        <f t="shared" ca="1" si="2"/>
        <v>+2 MES</v>
      </c>
    </row>
    <row r="70" spans="1:5">
      <c r="A70" s="6" t="s">
        <v>132</v>
      </c>
      <c r="B70" s="15" t="s">
        <v>131</v>
      </c>
      <c r="C70" s="10">
        <v>46128</v>
      </c>
      <c r="D70" s="5"/>
      <c r="E70" s="4" t="str">
        <f t="shared" ca="1" si="2"/>
        <v>+2 MES</v>
      </c>
    </row>
    <row r="71" spans="1:5">
      <c r="A71" s="6" t="s">
        <v>130</v>
      </c>
      <c r="B71" s="15" t="s">
        <v>129</v>
      </c>
      <c r="C71" s="10">
        <v>46128</v>
      </c>
      <c r="D71" s="5"/>
      <c r="E71" s="4" t="str">
        <f t="shared" ca="1" si="2"/>
        <v>+2 MES</v>
      </c>
    </row>
    <row r="72" spans="1:5">
      <c r="A72" s="6" t="s">
        <v>128</v>
      </c>
      <c r="B72" s="15" t="s">
        <v>127</v>
      </c>
      <c r="C72" s="10">
        <v>46128</v>
      </c>
      <c r="D72" s="5"/>
      <c r="E72" s="4" t="str">
        <f t="shared" ca="1" si="2"/>
        <v>+2 MES</v>
      </c>
    </row>
    <row r="73" spans="1:5">
      <c r="A73" s="6" t="s">
        <v>126</v>
      </c>
      <c r="B73" s="15" t="s">
        <v>125</v>
      </c>
      <c r="C73" s="10">
        <v>46128</v>
      </c>
      <c r="D73" s="5"/>
      <c r="E73" s="4" t="str">
        <f t="shared" ca="1" si="2"/>
        <v>+2 MES</v>
      </c>
    </row>
    <row r="74" spans="1:5">
      <c r="A74" s="6" t="s">
        <v>267</v>
      </c>
      <c r="B74" s="15" t="s">
        <v>204</v>
      </c>
      <c r="C74" s="10">
        <v>46129</v>
      </c>
      <c r="D74" s="5"/>
      <c r="E74" s="4" t="str">
        <f t="shared" ca="1" si="2"/>
        <v>+2 MES</v>
      </c>
    </row>
    <row r="75" spans="1:5">
      <c r="A75" s="6" t="s">
        <v>272</v>
      </c>
      <c r="B75" s="15" t="s">
        <v>190</v>
      </c>
      <c r="C75" s="10">
        <v>46135</v>
      </c>
      <c r="D75" s="5"/>
      <c r="E75" s="4" t="str">
        <f t="shared" ca="1" si="2"/>
        <v>+2 MES</v>
      </c>
    </row>
    <row r="76" spans="1:5">
      <c r="A76" s="6" t="s">
        <v>408</v>
      </c>
      <c r="B76" s="15" t="s">
        <v>172</v>
      </c>
      <c r="C76" s="10">
        <v>46135</v>
      </c>
      <c r="D76" s="5"/>
      <c r="E76" s="4" t="str">
        <f t="shared" ca="1" si="2"/>
        <v>+2 MES</v>
      </c>
    </row>
    <row r="77" spans="1:5">
      <c r="A77" s="6" t="s">
        <v>407</v>
      </c>
      <c r="B77" s="15" t="s">
        <v>171</v>
      </c>
      <c r="C77" s="10">
        <v>46135</v>
      </c>
      <c r="D77" s="5"/>
      <c r="E77" s="4" t="str">
        <f t="shared" ca="1" si="2"/>
        <v>+2 MES</v>
      </c>
    </row>
    <row r="78" spans="1:5">
      <c r="A78" s="6" t="s">
        <v>305</v>
      </c>
      <c r="B78" s="15" t="s">
        <v>304</v>
      </c>
      <c r="C78" s="10">
        <v>46135</v>
      </c>
      <c r="D78" s="5"/>
      <c r="E78" s="4" t="str">
        <f t="shared" ca="1" si="2"/>
        <v>+2 MES</v>
      </c>
    </row>
    <row r="79" spans="1:5">
      <c r="A79" s="6" t="s">
        <v>278</v>
      </c>
      <c r="B79" s="15" t="s">
        <v>247</v>
      </c>
      <c r="C79" s="10">
        <v>46136</v>
      </c>
      <c r="D79" s="5"/>
      <c r="E79" s="4" t="str">
        <f t="shared" ca="1" si="2"/>
        <v>+2 MES</v>
      </c>
    </row>
    <row r="80" spans="1:5">
      <c r="A80" s="6" t="s">
        <v>277</v>
      </c>
      <c r="B80" s="15" t="s">
        <v>246</v>
      </c>
      <c r="C80" s="10">
        <v>46136</v>
      </c>
      <c r="D80" s="5"/>
      <c r="E80" s="4" t="str">
        <f t="shared" ca="1" si="2"/>
        <v>+2 MES</v>
      </c>
    </row>
    <row r="81" spans="1:5">
      <c r="A81" s="6" t="s">
        <v>418</v>
      </c>
      <c r="B81" s="15" t="s">
        <v>189</v>
      </c>
      <c r="C81" s="10">
        <v>46140</v>
      </c>
      <c r="D81" s="5"/>
      <c r="E81" s="4" t="str">
        <f t="shared" ca="1" si="2"/>
        <v>+2 MES</v>
      </c>
    </row>
    <row r="82" spans="1:5">
      <c r="A82" s="6" t="s">
        <v>419</v>
      </c>
      <c r="B82" s="15" t="s">
        <v>188</v>
      </c>
      <c r="C82" s="10">
        <v>46140</v>
      </c>
      <c r="D82" s="5"/>
      <c r="E82" s="4" t="str">
        <f t="shared" ca="1" si="2"/>
        <v>+2 MES</v>
      </c>
    </row>
    <row r="83" spans="1:5">
      <c r="A83" s="6" t="s">
        <v>290</v>
      </c>
      <c r="B83" s="15" t="s">
        <v>289</v>
      </c>
      <c r="C83" s="10">
        <v>46144</v>
      </c>
      <c r="D83" s="5"/>
      <c r="E83" s="4" t="str">
        <f t="shared" ca="1" si="2"/>
        <v>+2 MES</v>
      </c>
    </row>
    <row r="84" spans="1:5">
      <c r="A84" s="6" t="s">
        <v>346</v>
      </c>
      <c r="B84" s="15" t="s">
        <v>347</v>
      </c>
      <c r="C84" s="10">
        <v>46144</v>
      </c>
      <c r="D84" s="5"/>
      <c r="E84" s="4" t="str">
        <f t="shared" ca="1" si="2"/>
        <v>+2 MES</v>
      </c>
    </row>
    <row r="85" spans="1:5">
      <c r="A85" s="6" t="s">
        <v>446</v>
      </c>
      <c r="B85" s="15" t="s">
        <v>202</v>
      </c>
      <c r="C85" s="10">
        <v>46148</v>
      </c>
      <c r="D85" s="5"/>
      <c r="E85" s="4" t="str">
        <f t="shared" ca="1" si="2"/>
        <v>+2 MES</v>
      </c>
    </row>
    <row r="86" spans="1:5">
      <c r="A86" s="6" t="s">
        <v>445</v>
      </c>
      <c r="B86" s="15" t="s">
        <v>201</v>
      </c>
      <c r="C86" s="10">
        <v>46148</v>
      </c>
      <c r="D86" s="5"/>
      <c r="E86" s="4" t="str">
        <f t="shared" ca="1" si="2"/>
        <v>+2 MES</v>
      </c>
    </row>
    <row r="87" spans="1:5">
      <c r="A87" s="6" t="s">
        <v>416</v>
      </c>
      <c r="B87" s="15" t="s">
        <v>236</v>
      </c>
      <c r="C87" s="10">
        <v>46149</v>
      </c>
      <c r="D87" s="5"/>
      <c r="E87" s="4" t="str">
        <f t="shared" ca="1" si="2"/>
        <v>+2 MES</v>
      </c>
    </row>
    <row r="88" spans="1:5">
      <c r="A88" s="6" t="s">
        <v>415</v>
      </c>
      <c r="B88" s="15" t="s">
        <v>237</v>
      </c>
      <c r="C88" s="10">
        <v>46151</v>
      </c>
      <c r="D88" s="5"/>
      <c r="E88" s="4" t="str">
        <f t="shared" ca="1" si="2"/>
        <v>+2 MES</v>
      </c>
    </row>
    <row r="89" spans="1:5">
      <c r="A89" s="6" t="s">
        <v>308</v>
      </c>
      <c r="B89" s="15" t="s">
        <v>133</v>
      </c>
      <c r="C89" s="10">
        <v>46155</v>
      </c>
      <c r="D89" s="5"/>
      <c r="E89" s="4" t="str">
        <f t="shared" ca="1" si="2"/>
        <v>+2 MES</v>
      </c>
    </row>
    <row r="90" spans="1:5">
      <c r="A90" s="6" t="s">
        <v>310</v>
      </c>
      <c r="B90" s="15" t="s">
        <v>167</v>
      </c>
      <c r="C90" s="10">
        <v>46156</v>
      </c>
      <c r="D90" s="5"/>
      <c r="E90" s="4" t="str">
        <f t="shared" ca="1" si="2"/>
        <v>+2 MES</v>
      </c>
    </row>
    <row r="91" spans="1:5">
      <c r="A91" s="6" t="s">
        <v>309</v>
      </c>
      <c r="B91" s="15" t="s">
        <v>166</v>
      </c>
      <c r="C91" s="10">
        <v>46156</v>
      </c>
      <c r="D91" s="5"/>
      <c r="E91" s="4" t="str">
        <f t="shared" ca="1" si="2"/>
        <v>+2 MES</v>
      </c>
    </row>
    <row r="92" spans="1:5">
      <c r="A92" s="6" t="s">
        <v>317</v>
      </c>
      <c r="B92" s="15" t="s">
        <v>191</v>
      </c>
      <c r="C92" s="10">
        <v>46158</v>
      </c>
      <c r="D92" s="5"/>
      <c r="E92" s="4" t="str">
        <f t="shared" ca="1" si="2"/>
        <v>+2 MES</v>
      </c>
    </row>
    <row r="93" spans="1:5">
      <c r="A93" s="6" t="s">
        <v>318</v>
      </c>
      <c r="B93" s="15" t="s">
        <v>156</v>
      </c>
      <c r="C93" s="10">
        <v>46158</v>
      </c>
      <c r="D93" s="5"/>
      <c r="E93" s="4" t="str">
        <f t="shared" ca="1" si="2"/>
        <v>+2 MES</v>
      </c>
    </row>
    <row r="94" spans="1:5">
      <c r="A94" s="6" t="s">
        <v>314</v>
      </c>
      <c r="B94" s="15" t="s">
        <v>313</v>
      </c>
      <c r="C94" s="10">
        <v>46158</v>
      </c>
      <c r="D94" s="5"/>
      <c r="E94" s="4" t="str">
        <f t="shared" ca="1" si="2"/>
        <v>+2 MES</v>
      </c>
    </row>
    <row r="95" spans="1:5">
      <c r="A95" s="6" t="s">
        <v>343</v>
      </c>
      <c r="B95" s="15" t="s">
        <v>153</v>
      </c>
      <c r="C95" s="10">
        <v>46169</v>
      </c>
      <c r="D95" s="5"/>
      <c r="E95" s="4" t="str">
        <f t="shared" ca="1" si="2"/>
        <v>+2 MES</v>
      </c>
    </row>
    <row r="96" spans="1:5">
      <c r="A96" s="6" t="s">
        <v>348</v>
      </c>
      <c r="B96" s="15" t="s">
        <v>349</v>
      </c>
      <c r="C96" s="10">
        <v>46171</v>
      </c>
      <c r="D96" s="5"/>
      <c r="E96" s="4" t="str">
        <f t="shared" ref="E96:E113" ca="1" si="3">IF(C96&lt;TODAY(),"CADUCADO",IF(C96-TODAY()&gt;=60,"+2 MES",IF(AND(C96-TODAY()&lt;60,C96-TODAY()&gt;=30),"+1 MES",IF(AND(C96-TODAY()&lt;30,C96-TODAY()&gt;15),"+15 DÍAS",IF(AND(C96-TODAY()&lt;=15,C96-TODAY()&gt;7),"+7 DÍAS","CRITICAL")))))</f>
        <v>+2 MES</v>
      </c>
    </row>
    <row r="97" spans="1:5">
      <c r="A97" s="6" t="s">
        <v>338</v>
      </c>
      <c r="B97" s="15" t="s">
        <v>252</v>
      </c>
      <c r="C97" s="10">
        <v>46176</v>
      </c>
      <c r="D97" s="5"/>
      <c r="E97" s="4" t="str">
        <f t="shared" ca="1" si="3"/>
        <v>+2 MES</v>
      </c>
    </row>
    <row r="98" spans="1:5">
      <c r="A98" s="6" t="s">
        <v>339</v>
      </c>
      <c r="B98" s="15" t="s">
        <v>340</v>
      </c>
      <c r="C98" s="10">
        <v>46178</v>
      </c>
      <c r="D98" s="5"/>
      <c r="E98" s="4" t="str">
        <f t="shared" ca="1" si="3"/>
        <v>+2 MES</v>
      </c>
    </row>
    <row r="99" spans="1:5">
      <c r="A99" s="6" t="s">
        <v>341</v>
      </c>
      <c r="B99" s="15" t="s">
        <v>345</v>
      </c>
      <c r="C99" s="10">
        <v>46178</v>
      </c>
      <c r="D99" s="5"/>
      <c r="E99" s="4" t="str">
        <f t="shared" ca="1" si="3"/>
        <v>+2 MES</v>
      </c>
    </row>
    <row r="100" spans="1:5">
      <c r="A100" s="6" t="s">
        <v>342</v>
      </c>
      <c r="B100" s="15" t="s">
        <v>312</v>
      </c>
      <c r="C100" s="10">
        <v>46178</v>
      </c>
      <c r="D100" s="5"/>
      <c r="E100" s="4" t="str">
        <f t="shared" ca="1" si="3"/>
        <v>+2 MES</v>
      </c>
    </row>
    <row r="101" spans="1:5">
      <c r="A101" s="6" t="s">
        <v>404</v>
      </c>
      <c r="B101" s="15" t="s">
        <v>245</v>
      </c>
      <c r="C101" s="10">
        <v>46198</v>
      </c>
      <c r="D101" s="5"/>
      <c r="E101" s="4" t="str">
        <f t="shared" ca="1" si="3"/>
        <v>+2 MES</v>
      </c>
    </row>
    <row r="102" spans="1:5">
      <c r="A102" s="6" t="s">
        <v>417</v>
      </c>
      <c r="B102" s="15" t="s">
        <v>224</v>
      </c>
      <c r="C102" s="10">
        <v>46204</v>
      </c>
      <c r="D102" s="5"/>
      <c r="E102" s="4" t="str">
        <f t="shared" ca="1" si="3"/>
        <v>+2 MES</v>
      </c>
    </row>
    <row r="103" spans="1:5">
      <c r="A103" s="6" t="s">
        <v>434</v>
      </c>
      <c r="B103" s="15" t="s">
        <v>162</v>
      </c>
      <c r="C103" s="10">
        <v>46214</v>
      </c>
      <c r="D103" s="5"/>
      <c r="E103" s="4" t="str">
        <f t="shared" ca="1" si="3"/>
        <v>+2 MES</v>
      </c>
    </row>
    <row r="104" spans="1:5">
      <c r="A104" s="6" t="s">
        <v>435</v>
      </c>
      <c r="B104" s="15" t="s">
        <v>161</v>
      </c>
      <c r="C104" s="10">
        <v>46214</v>
      </c>
      <c r="D104" s="5"/>
      <c r="E104" s="4" t="str">
        <f t="shared" ca="1" si="3"/>
        <v>+2 MES</v>
      </c>
    </row>
    <row r="105" spans="1:5">
      <c r="A105" s="6" t="s">
        <v>431</v>
      </c>
      <c r="B105" s="15" t="s">
        <v>155</v>
      </c>
      <c r="C105" s="10">
        <v>46218</v>
      </c>
      <c r="D105" s="5"/>
      <c r="E105" s="4" t="str">
        <f t="shared" ca="1" si="3"/>
        <v>+2 MES</v>
      </c>
    </row>
    <row r="106" spans="1:5">
      <c r="A106" s="6" t="s">
        <v>432</v>
      </c>
      <c r="B106" s="15" t="s">
        <v>154</v>
      </c>
      <c r="C106" s="10">
        <v>46218</v>
      </c>
      <c r="D106" s="5"/>
      <c r="E106" s="4" t="str">
        <f t="shared" ca="1" si="3"/>
        <v>+2 MES</v>
      </c>
    </row>
    <row r="107" spans="1:5">
      <c r="A107" s="6" t="s">
        <v>440</v>
      </c>
      <c r="B107" s="15" t="s">
        <v>148</v>
      </c>
      <c r="C107" s="10">
        <v>46218</v>
      </c>
      <c r="D107" s="5"/>
      <c r="E107" s="4" t="str">
        <f t="shared" ca="1" si="3"/>
        <v>+2 MES</v>
      </c>
    </row>
    <row r="108" spans="1:5">
      <c r="A108" s="6" t="s">
        <v>441</v>
      </c>
      <c r="B108" s="15" t="s">
        <v>147</v>
      </c>
      <c r="C108" s="10">
        <v>46218</v>
      </c>
      <c r="D108" s="5"/>
      <c r="E108" s="4" t="str">
        <f t="shared" ca="1" si="3"/>
        <v>+2 MES</v>
      </c>
    </row>
    <row r="109" spans="1:5">
      <c r="A109" s="6" t="s">
        <v>442</v>
      </c>
      <c r="B109" s="15" t="s">
        <v>146</v>
      </c>
      <c r="C109" s="10">
        <v>46218</v>
      </c>
      <c r="D109" s="5"/>
      <c r="E109" s="4" t="str">
        <f t="shared" ca="1" si="3"/>
        <v>+2 MES</v>
      </c>
    </row>
    <row r="110" spans="1:5">
      <c r="A110" s="6" t="s">
        <v>443</v>
      </c>
      <c r="B110" s="15" t="s">
        <v>145</v>
      </c>
      <c r="C110" s="10">
        <v>46218</v>
      </c>
      <c r="D110" s="5"/>
      <c r="E110" s="4" t="str">
        <f t="shared" ca="1" si="3"/>
        <v>+2 MES</v>
      </c>
    </row>
    <row r="111" spans="1:5">
      <c r="A111" s="6" t="s">
        <v>447</v>
      </c>
      <c r="B111" s="15" t="s">
        <v>448</v>
      </c>
      <c r="C111" s="10">
        <v>46218</v>
      </c>
      <c r="D111" s="5"/>
      <c r="E111" s="4" t="str">
        <f t="shared" ca="1" si="3"/>
        <v>+2 MES</v>
      </c>
    </row>
    <row r="112" spans="1:5">
      <c r="A112" s="6" t="s">
        <v>456</v>
      </c>
      <c r="B112" s="15" t="s">
        <v>457</v>
      </c>
      <c r="C112" s="10">
        <v>46220</v>
      </c>
      <c r="D112" s="5"/>
      <c r="E112" s="4" t="str">
        <f t="shared" ca="1" si="3"/>
        <v>+2 MES</v>
      </c>
    </row>
    <row r="113" spans="1:5">
      <c r="A113" s="6" t="s">
        <v>463</v>
      </c>
      <c r="B113" s="15" t="s">
        <v>229</v>
      </c>
      <c r="C113" s="10">
        <v>46206</v>
      </c>
      <c r="D113" s="5"/>
      <c r="E113" s="4" t="str">
        <f t="shared" ca="1" si="3"/>
        <v>+2 MES</v>
      </c>
    </row>
    <row r="114" spans="1:5">
      <c r="A114" s="6"/>
      <c r="C114" s="10"/>
      <c r="D114" s="5"/>
    </row>
    <row r="115" spans="1:5">
      <c r="A115" s="6"/>
      <c r="C115" s="10"/>
      <c r="D115" s="5"/>
    </row>
    <row r="116" spans="1:5">
      <c r="A116" s="6"/>
      <c r="C116" s="10"/>
      <c r="D116" s="5"/>
    </row>
    <row r="117" spans="1:5">
      <c r="A117" s="6"/>
      <c r="C117" s="10"/>
      <c r="D117" s="5"/>
    </row>
    <row r="118" spans="1:5">
      <c r="A118" s="6"/>
      <c r="C118" s="10"/>
      <c r="D118" s="5"/>
    </row>
    <row r="119" spans="1:5">
      <c r="A119" s="6"/>
      <c r="C119" s="10"/>
      <c r="D119" s="5"/>
    </row>
    <row r="120" spans="1:5">
      <c r="A120" s="6"/>
      <c r="C120" s="10"/>
      <c r="D120" s="5"/>
    </row>
    <row r="121" spans="1:5">
      <c r="A121" s="6"/>
      <c r="C121" s="10"/>
      <c r="D121" s="5"/>
    </row>
    <row r="122" spans="1:5">
      <c r="A122" s="6"/>
      <c r="C122" s="10"/>
      <c r="D122" s="5"/>
    </row>
    <row r="123" spans="1:5">
      <c r="A123" s="6"/>
      <c r="C123" s="10"/>
      <c r="D123" s="5"/>
    </row>
  </sheetData>
  <autoFilter ref="A1:E113">
    <sortState ref="A2:E98">
      <sortCondition ref="C2:C98"/>
      <sortCondition ref="A2:A98"/>
    </sortState>
  </autoFilter>
  <sortState ref="A2:E110">
    <sortCondition ref="C2:C110"/>
    <sortCondition ref="A2:A110"/>
    <sortCondition ref="B2:B11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generados</vt:lpstr>
      <vt:lpstr>waf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Óscar Monroy Martín</dc:creator>
  <cp:lastModifiedBy>adm-jesteban</cp:lastModifiedBy>
  <dcterms:created xsi:type="dcterms:W3CDTF">2025-04-16T09:55:31Z</dcterms:created>
  <dcterms:modified xsi:type="dcterms:W3CDTF">2025-10-06T14:42:23Z</dcterms:modified>
</cp:coreProperties>
</file>